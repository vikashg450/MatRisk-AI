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0" yWindow="490" windowWidth="18880" windowHeight="8740" firstSheet="2" activeTab="5"/>
  </bookViews>
  <sheets>
    <sheet name="DS1_Material_Properties" sheetId="1" r:id="rId1"/>
    <sheet name="DS2_Commodity_Prices" sheetId="2" r:id="rId2"/>
    <sheet name="DS3_Infrastructure_Portfolio" sheetId="3" r:id="rId3"/>
    <sheet name="DS4_CrossDomain_Features" sheetId="4" r:id="rId4"/>
    <sheet name="DS5_Stress_Scenarios" sheetId="5" r:id="rId5"/>
    <sheet name="Data_Dictionary" sheetId="6" r:id="rId6"/>
  </sheets>
  <calcPr calcId="145621"/>
</workbook>
</file>

<file path=xl/calcChain.xml><?xml version="1.0" encoding="utf-8"?>
<calcChain xmlns="http://schemas.openxmlformats.org/spreadsheetml/2006/main">
  <c r="G47" i="2" l="1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F108" i="1"/>
  <c r="D108" i="1"/>
  <c r="B108" i="1"/>
  <c r="A108" i="1"/>
  <c r="D107" i="1"/>
  <c r="F107" i="1" s="1"/>
  <c r="B107" i="1"/>
  <c r="A107" i="1"/>
  <c r="D106" i="1"/>
  <c r="F106" i="1" s="1"/>
  <c r="B106" i="1"/>
  <c r="A106" i="1"/>
  <c r="F105" i="1"/>
  <c r="D105" i="1"/>
  <c r="B105" i="1"/>
  <c r="A105" i="1"/>
  <c r="D104" i="1"/>
  <c r="F104" i="1" s="1"/>
  <c r="B104" i="1"/>
  <c r="A104" i="1"/>
  <c r="D103" i="1"/>
  <c r="F103" i="1" s="1"/>
  <c r="B103" i="1"/>
  <c r="A103" i="1"/>
  <c r="F102" i="1"/>
  <c r="D102" i="1"/>
  <c r="B102" i="1"/>
  <c r="A102" i="1"/>
  <c r="D101" i="1"/>
  <c r="F101" i="1" s="1"/>
  <c r="B101" i="1"/>
  <c r="A101" i="1"/>
  <c r="D100" i="1"/>
  <c r="F100" i="1" s="1"/>
  <c r="B100" i="1"/>
  <c r="A100" i="1"/>
  <c r="F99" i="1"/>
  <c r="D99" i="1"/>
  <c r="B99" i="1"/>
  <c r="A99" i="1"/>
  <c r="D98" i="1"/>
  <c r="F98" i="1" s="1"/>
  <c r="B98" i="1"/>
  <c r="A98" i="1"/>
  <c r="D97" i="1"/>
  <c r="F97" i="1" s="1"/>
  <c r="B97" i="1"/>
  <c r="A97" i="1"/>
  <c r="F96" i="1"/>
  <c r="D96" i="1"/>
  <c r="B96" i="1"/>
  <c r="A96" i="1"/>
  <c r="D95" i="1"/>
  <c r="F95" i="1" s="1"/>
  <c r="B95" i="1"/>
  <c r="A95" i="1"/>
  <c r="D94" i="1"/>
  <c r="F94" i="1" s="1"/>
  <c r="B94" i="1"/>
  <c r="A94" i="1"/>
  <c r="F93" i="1"/>
  <c r="D93" i="1"/>
  <c r="B93" i="1"/>
  <c r="A93" i="1"/>
  <c r="D92" i="1"/>
  <c r="F92" i="1" s="1"/>
  <c r="B92" i="1"/>
  <c r="A92" i="1"/>
  <c r="D91" i="1"/>
  <c r="F91" i="1" s="1"/>
  <c r="B91" i="1"/>
  <c r="A91" i="1"/>
  <c r="F90" i="1"/>
  <c r="D90" i="1"/>
  <c r="B90" i="1"/>
  <c r="A90" i="1"/>
  <c r="D89" i="1"/>
  <c r="F89" i="1" s="1"/>
  <c r="B89" i="1"/>
  <c r="A89" i="1"/>
  <c r="D88" i="1"/>
  <c r="F88" i="1" s="1"/>
  <c r="B88" i="1"/>
  <c r="A88" i="1"/>
  <c r="F87" i="1"/>
  <c r="D87" i="1"/>
  <c r="B87" i="1"/>
  <c r="A87" i="1"/>
  <c r="D86" i="1"/>
  <c r="F86" i="1" s="1"/>
  <c r="B86" i="1"/>
  <c r="A86" i="1"/>
  <c r="D85" i="1"/>
  <c r="F85" i="1" s="1"/>
  <c r="B85" i="1"/>
  <c r="A85" i="1"/>
  <c r="F84" i="1"/>
  <c r="D84" i="1"/>
  <c r="B84" i="1"/>
  <c r="A84" i="1"/>
  <c r="D83" i="1"/>
  <c r="F83" i="1" s="1"/>
  <c r="B83" i="1"/>
  <c r="A83" i="1"/>
  <c r="D82" i="1"/>
  <c r="F82" i="1" s="1"/>
  <c r="B82" i="1"/>
  <c r="A82" i="1"/>
  <c r="F81" i="1"/>
  <c r="D81" i="1"/>
  <c r="B81" i="1"/>
  <c r="A81" i="1"/>
  <c r="D80" i="1"/>
  <c r="F80" i="1" s="1"/>
  <c r="B80" i="1"/>
  <c r="A80" i="1"/>
  <c r="D79" i="1"/>
  <c r="F79" i="1" s="1"/>
  <c r="B79" i="1"/>
  <c r="A79" i="1"/>
  <c r="F78" i="1"/>
  <c r="D78" i="1"/>
  <c r="B78" i="1"/>
  <c r="A78" i="1"/>
  <c r="D77" i="1"/>
  <c r="F77" i="1" s="1"/>
  <c r="B77" i="1"/>
  <c r="A77" i="1"/>
  <c r="D76" i="1"/>
  <c r="F76" i="1" s="1"/>
  <c r="B76" i="1"/>
  <c r="A76" i="1"/>
  <c r="F75" i="1"/>
  <c r="D75" i="1"/>
  <c r="B75" i="1"/>
  <c r="A75" i="1"/>
  <c r="D74" i="1"/>
  <c r="F74" i="1" s="1"/>
  <c r="B74" i="1"/>
  <c r="A74" i="1"/>
  <c r="D73" i="1"/>
  <c r="F73" i="1" s="1"/>
  <c r="B73" i="1"/>
  <c r="A73" i="1"/>
  <c r="F72" i="1"/>
  <c r="D72" i="1"/>
  <c r="B72" i="1"/>
  <c r="A72" i="1"/>
  <c r="D71" i="1"/>
  <c r="F71" i="1" s="1"/>
  <c r="B71" i="1"/>
  <c r="A71" i="1"/>
  <c r="D70" i="1"/>
  <c r="F70" i="1" s="1"/>
  <c r="B70" i="1"/>
  <c r="A70" i="1"/>
  <c r="F69" i="1"/>
  <c r="D69" i="1"/>
  <c r="B69" i="1"/>
  <c r="A69" i="1"/>
  <c r="D68" i="1"/>
  <c r="F68" i="1" s="1"/>
  <c r="B68" i="1"/>
  <c r="A68" i="1"/>
  <c r="D67" i="1"/>
  <c r="F67" i="1" s="1"/>
  <c r="B67" i="1"/>
  <c r="A67" i="1"/>
  <c r="F66" i="1"/>
  <c r="D66" i="1"/>
  <c r="B66" i="1"/>
  <c r="A66" i="1"/>
  <c r="D65" i="1"/>
  <c r="F65" i="1" s="1"/>
  <c r="B65" i="1"/>
  <c r="A65" i="1"/>
  <c r="D64" i="1"/>
  <c r="F64" i="1" s="1"/>
  <c r="B64" i="1"/>
  <c r="A64" i="1"/>
  <c r="F63" i="1"/>
  <c r="D63" i="1"/>
  <c r="B63" i="1"/>
  <c r="A63" i="1"/>
  <c r="D62" i="1"/>
  <c r="F62" i="1" s="1"/>
  <c r="B62" i="1"/>
  <c r="A62" i="1"/>
  <c r="D61" i="1"/>
  <c r="F61" i="1" s="1"/>
  <c r="B61" i="1"/>
  <c r="A61" i="1"/>
  <c r="F60" i="1"/>
  <c r="D60" i="1"/>
  <c r="B60" i="1"/>
  <c r="A60" i="1"/>
  <c r="D59" i="1"/>
  <c r="F59" i="1" s="1"/>
  <c r="B59" i="1"/>
  <c r="A59" i="1"/>
</calcChain>
</file>

<file path=xl/sharedStrings.xml><?xml version="1.0" encoding="utf-8"?>
<sst xmlns="http://schemas.openxmlformats.org/spreadsheetml/2006/main" count="1045" uniqueCount="696">
  <si>
    <t>DS-1: SAMPLE MATERIAL PROPERTIES DATASET</t>
  </si>
  <si>
    <t>Source: Materials Project (materialsproject.org) | Values are DFT-computed (PBE functional) | Use as validation reference</t>
  </si>
  <si>
    <t>NOTE: Band gap values from PBE-DFT are known to underestimate by ~30-50%. Formation energies are per atom.</t>
  </si>
  <si>
    <t>Material ID</t>
  </si>
  <si>
    <t>Material Name</t>
  </si>
  <si>
    <t>Formula</t>
  </si>
  <si>
    <t>Crystal System</t>
  </si>
  <si>
    <t>Space Group (#)</t>
  </si>
  <si>
    <t>Formation Energy (eV/atom)</t>
  </si>
  <si>
    <t>Band Gap (eV)</t>
  </si>
  <si>
    <t>Bulk Modulus K (GPa)</t>
  </si>
  <si>
    <t>Shear Modulus G (GPa)</t>
  </si>
  <si>
    <t>Poisson Ratio ν</t>
  </si>
  <si>
    <t>Density (g/cm³)</t>
  </si>
  <si>
    <t>Category</t>
  </si>
  <si>
    <t>mp-13</t>
  </si>
  <si>
    <t>Iron (BCC α)</t>
  </si>
  <si>
    <t>Fe</t>
  </si>
  <si>
    <t>Cubic</t>
  </si>
  <si>
    <t>Im-3m (229)</t>
  </si>
  <si>
    <t>Structural Metal</t>
  </si>
  <si>
    <t>mp-134</t>
  </si>
  <si>
    <t>Aluminium</t>
  </si>
  <si>
    <t>Al</t>
  </si>
  <si>
    <t>Fm-3m (225)</t>
  </si>
  <si>
    <t>mp-30</t>
  </si>
  <si>
    <t>Copper</t>
  </si>
  <si>
    <t>Cu</t>
  </si>
  <si>
    <t>mp-46</t>
  </si>
  <si>
    <t>Titanium (HCP)</t>
  </si>
  <si>
    <t>Ti</t>
  </si>
  <si>
    <t>Hexagonal</t>
  </si>
  <si>
    <t>P63/mmc (194)</t>
  </si>
  <si>
    <t>mp-149</t>
  </si>
  <si>
    <t>Silicon</t>
  </si>
  <si>
    <t>Si</t>
  </si>
  <si>
    <t>Fd-3m (227)</t>
  </si>
  <si>
    <t>Semiconductor</t>
  </si>
  <si>
    <t>mp-23</t>
  </si>
  <si>
    <t>Nickel</t>
  </si>
  <si>
    <t>Ni</t>
  </si>
  <si>
    <t>mp-91</t>
  </si>
  <si>
    <t>Tungsten</t>
  </si>
  <si>
    <t>W</t>
  </si>
  <si>
    <t>Refractory Metal</t>
  </si>
  <si>
    <t>mp-19770</t>
  </si>
  <si>
    <t>Hematite</t>
  </si>
  <si>
    <t>Fe2O3</t>
  </si>
  <si>
    <t>Trigonal</t>
  </si>
  <si>
    <t>R-3c (167)</t>
  </si>
  <si>
    <t>Oxide</t>
  </si>
  <si>
    <t>mp-1143</t>
  </si>
  <si>
    <t>Corundum (Alumina)</t>
  </si>
  <si>
    <t>Al2O3</t>
  </si>
  <si>
    <t>Oxide / Ceramic</t>
  </si>
  <si>
    <t>mp-2657</t>
  </si>
  <si>
    <t>Rutile (TiO2)</t>
  </si>
  <si>
    <t>TiO2</t>
  </si>
  <si>
    <t>Tetragonal</t>
  </si>
  <si>
    <t>P42/mnm (136)</t>
  </si>
  <si>
    <t>mp-22862</t>
  </si>
  <si>
    <t>Sodium Chloride</t>
  </si>
  <si>
    <t>NaCl</t>
  </si>
  <si>
    <t>Halide</t>
  </si>
  <si>
    <t>mp-2534</t>
  </si>
  <si>
    <t>Gallium Arsenide</t>
  </si>
  <si>
    <t>GaAs</t>
  </si>
  <si>
    <t>F-43m (216)</t>
  </si>
  <si>
    <t>mp-2133</t>
  </si>
  <si>
    <t>Zinc Oxide</t>
  </si>
  <si>
    <t>ZnO</t>
  </si>
  <si>
    <t>P63mc (186)</t>
  </si>
  <si>
    <t>Oxide / Semiconductor</t>
  </si>
  <si>
    <t>mp-2741</t>
  </si>
  <si>
    <t>Calcium Fluoride</t>
  </si>
  <si>
    <t>CaF2</t>
  </si>
  <si>
    <t>Halide / Optical</t>
  </si>
  <si>
    <t>mp-1265</t>
  </si>
  <si>
    <t>Magnesium Oxide</t>
  </si>
  <si>
    <t>MgO</t>
  </si>
  <si>
    <t>mp-66</t>
  </si>
  <si>
    <t>Zinc</t>
  </si>
  <si>
    <t>Zn</t>
  </si>
  <si>
    <t>mp-8</t>
  </si>
  <si>
    <t>Magnesium</t>
  </si>
  <si>
    <t>Mg</t>
  </si>
  <si>
    <t>Light Metal</t>
  </si>
  <si>
    <t>mp-10172</t>
  </si>
  <si>
    <t>Zirconia (Monoclinic)</t>
  </si>
  <si>
    <t>ZrO2</t>
  </si>
  <si>
    <t>Monoclinic</t>
  </si>
  <si>
    <t>P21/c (14)</t>
  </si>
  <si>
    <t>mp-5229</t>
  </si>
  <si>
    <t>Barium Titanate</t>
  </si>
  <si>
    <t>BaTiO3</t>
  </si>
  <si>
    <t>P4mm (99)</t>
  </si>
  <si>
    <t>Piezoelectric</t>
  </si>
  <si>
    <t>mp-804</t>
  </si>
  <si>
    <t>Lithium Cobalt Oxide</t>
  </si>
  <si>
    <t>LiCoO2</t>
  </si>
  <si>
    <t>R-3m (166)</t>
  </si>
  <si>
    <t>Battery Cathode</t>
  </si>
  <si>
    <t>mp-19017</t>
  </si>
  <si>
    <t>LiFePO4 (Olivine)</t>
  </si>
  <si>
    <t>LiFePO4</t>
  </si>
  <si>
    <t>Orthorhombic</t>
  </si>
  <si>
    <t>Pnma (62)</t>
  </si>
  <si>
    <t>mp-2258</t>
  </si>
  <si>
    <t>Lead Zirconate Titanate</t>
  </si>
  <si>
    <t>PbZrO3</t>
  </si>
  <si>
    <t>Pbam (55)</t>
  </si>
  <si>
    <t>mp-20194</t>
  </si>
  <si>
    <t>Neodymium Iron Boride</t>
  </si>
  <si>
    <t>Nd2Fe14B</t>
  </si>
  <si>
    <t>Permanent Magnet</t>
  </si>
  <si>
    <t>mp-5020</t>
  </si>
  <si>
    <t>Silicon Carbide (3C)</t>
  </si>
  <si>
    <t>SiC</t>
  </si>
  <si>
    <t>Ceramic / Wide-gap</t>
  </si>
  <si>
    <t>mp-16281</t>
  </si>
  <si>
    <t>Boron Nitride (hex)</t>
  </si>
  <si>
    <t>BN</t>
  </si>
  <si>
    <t>Ceramic / Lubricant</t>
  </si>
  <si>
    <t>mp-22598</t>
  </si>
  <si>
    <t>Stainless Steel 316L equiv.</t>
  </si>
  <si>
    <t>Fe8Cr2Ni</t>
  </si>
  <si>
    <t>Alloy Steel</t>
  </si>
  <si>
    <t>mp-1634</t>
  </si>
  <si>
    <t>Chromium</t>
  </si>
  <si>
    <t>Cr</t>
  </si>
  <si>
    <t>mp-11534</t>
  </si>
  <si>
    <t>Vanadium Carbide</t>
  </si>
  <si>
    <t>VC</t>
  </si>
  <si>
    <t>Hard Coating</t>
  </si>
  <si>
    <t>mp-2176</t>
  </si>
  <si>
    <t>Titanium Nitride</t>
  </si>
  <si>
    <t>TiN</t>
  </si>
  <si>
    <t>mp-1018059</t>
  </si>
  <si>
    <t>Ti-6Al-4V equiv.</t>
  </si>
  <si>
    <t>Ti6Al4V</t>
  </si>
  <si>
    <t>Aerospace Alloy</t>
  </si>
  <si>
    <t>mp-7041</t>
  </si>
  <si>
    <t>Cobalt</t>
  </si>
  <si>
    <t>Co</t>
  </si>
  <si>
    <t>Battery / Magnet</t>
  </si>
  <si>
    <t>mp-135</t>
  </si>
  <si>
    <t>Gold</t>
  </si>
  <si>
    <t>Au</t>
  </si>
  <si>
    <t>Precious Metal</t>
  </si>
  <si>
    <t>Silver</t>
  </si>
  <si>
    <t>Ag</t>
  </si>
  <si>
    <t>mp-101</t>
  </si>
  <si>
    <t>Platinum</t>
  </si>
  <si>
    <t>Pt</t>
  </si>
  <si>
    <t>Catalyst / Precious</t>
  </si>
  <si>
    <t>mp-32</t>
  </si>
  <si>
    <t>Molybdenum</t>
  </si>
  <si>
    <t>Mo</t>
  </si>
  <si>
    <t>mp-10694</t>
  </si>
  <si>
    <t>WC (Tungsten Carbide)</t>
  </si>
  <si>
    <t>WC</t>
  </si>
  <si>
    <t>P-6m2 (187)</t>
  </si>
  <si>
    <t>Hard Tool Material</t>
  </si>
  <si>
    <t>mp-552</t>
  </si>
  <si>
    <t>Germanium</t>
  </si>
  <si>
    <t>Ge</t>
  </si>
  <si>
    <t>mp-2798</t>
  </si>
  <si>
    <t>Cadmium Telluride</t>
  </si>
  <si>
    <t>CdTe</t>
  </si>
  <si>
    <t>Solar Cell</t>
  </si>
  <si>
    <t>mp-406</t>
  </si>
  <si>
    <t>Indium Phosphide</t>
  </si>
  <si>
    <t>InP</t>
  </si>
  <si>
    <t>mp-830</t>
  </si>
  <si>
    <t>Manganese</t>
  </si>
  <si>
    <t>Mn</t>
  </si>
  <si>
    <t>I-43m (217)</t>
  </si>
  <si>
    <t>Battery Metal</t>
  </si>
  <si>
    <t>mp-22526</t>
  </si>
  <si>
    <t>Ni3Al (γ' precipitate)</t>
  </si>
  <si>
    <t>Ni3Al</t>
  </si>
  <si>
    <t>Pm-3m (221)</t>
  </si>
  <si>
    <t>Superalloy Phase</t>
  </si>
  <si>
    <t>mp-7559</t>
  </si>
  <si>
    <t>Spinel (MgAl2O4)</t>
  </si>
  <si>
    <t>MgAl2O4</t>
  </si>
  <si>
    <t>Ceramic / Refractory</t>
  </si>
  <si>
    <t>mp-3163</t>
  </si>
  <si>
    <t>Yttria-Stabilised Zirconia</t>
  </si>
  <si>
    <t>Y2Zr2O7</t>
  </si>
  <si>
    <t>Thermal Barrier</t>
  </si>
  <si>
    <t>mp-1948</t>
  </si>
  <si>
    <t>Lithium</t>
  </si>
  <si>
    <t>Li</t>
  </si>
  <si>
    <t>Battery Anode Metal</t>
  </si>
  <si>
    <t>mp-10107</t>
  </si>
  <si>
    <t>Iron Nitride</t>
  </si>
  <si>
    <t>Fe16N2</t>
  </si>
  <si>
    <t>I4/mmm (139)</t>
  </si>
  <si>
    <t>Rare Earth Alternative</t>
  </si>
  <si>
    <t>mp-7631</t>
  </si>
  <si>
    <t>Samarium Cobalt</t>
  </si>
  <si>
    <t>SmCo5</t>
  </si>
  <si>
    <t>P6/mmm (191)</t>
  </si>
  <si>
    <t>mp-20305</t>
  </si>
  <si>
    <t>Inconel 718 equiv.</t>
  </si>
  <si>
    <t>Ni8Fe2Cr2</t>
  </si>
  <si>
    <t>Superalloy</t>
  </si>
  <si>
    <t>Anatase TiO2</t>
  </si>
  <si>
    <t>I41/amd (141)</t>
  </si>
  <si>
    <t>Photocatalyst</t>
  </si>
  <si>
    <t>mp-33</t>
  </si>
  <si>
    <t>Tin</t>
  </si>
  <si>
    <t>Sn</t>
  </si>
  <si>
    <t>Solder / Coating</t>
  </si>
  <si>
    <t>mp-568345</t>
  </si>
  <si>
    <t>Carbon (Diamond)</t>
  </si>
  <si>
    <t>C</t>
  </si>
  <si>
    <t>Ultra-hard</t>
  </si>
  <si>
    <t>VALIDATION CHECKS</t>
  </si>
  <si>
    <t>E = 2G(1+ν)</t>
  </si>
  <si>
    <t>Computed E (GPa)</t>
  </si>
  <si>
    <t>E from K</t>
  </si>
  <si>
    <t>Consistency %</t>
  </si>
  <si>
    <t>DS-2: COMMODITY PRICE DATASET (SAMPLE 30 TRADING DAYS × 8 COMMODITIES)</t>
  </si>
  <si>
    <t>Source: Yahoo Finance (yfinance) | Interns must extend to 10+ years for all commodities | Ticker symbols provided</t>
  </si>
  <si>
    <t>COMMODITY TICKER REFERENCE</t>
  </si>
  <si>
    <t>Commodity</t>
  </si>
  <si>
    <t>Ticker</t>
  </si>
  <si>
    <t>Exchange</t>
  </si>
  <si>
    <t>Unit</t>
  </si>
  <si>
    <t>Currency</t>
  </si>
  <si>
    <t>Typical Range</t>
  </si>
  <si>
    <t>Steel HRC</t>
  </si>
  <si>
    <t>HRC=F</t>
  </si>
  <si>
    <t>CME</t>
  </si>
  <si>
    <t>$/short ton</t>
  </si>
  <si>
    <t>USD</t>
  </si>
  <si>
    <t>$500-$1200</t>
  </si>
  <si>
    <t>ALI=F</t>
  </si>
  <si>
    <t>LME</t>
  </si>
  <si>
    <t>$/metric ton</t>
  </si>
  <si>
    <t>$1800-$3500</t>
  </si>
  <si>
    <t>HG=F</t>
  </si>
  <si>
    <t>COMEX</t>
  </si>
  <si>
    <t>$/lb</t>
  </si>
  <si>
    <t>$2.50-$5.00</t>
  </si>
  <si>
    <t>^JMNI</t>
  </si>
  <si>
    <t>$10000-$50000</t>
  </si>
  <si>
    <t>Lithium (proxy)</t>
  </si>
  <si>
    <t>LIT</t>
  </si>
  <si>
    <t>ETF</t>
  </si>
  <si>
    <t>ETF price</t>
  </si>
  <si>
    <t>$30-$90</t>
  </si>
  <si>
    <t>Cobalt (proxy)</t>
  </si>
  <si>
    <t>BATTERY</t>
  </si>
  <si>
    <t>Index</t>
  </si>
  <si>
    <t>50-200</t>
  </si>
  <si>
    <t>Rare Earth (proxy)</t>
  </si>
  <si>
    <t>REMX</t>
  </si>
  <si>
    <t>$30-$100</t>
  </si>
  <si>
    <t>Iron Ore</t>
  </si>
  <si>
    <t>TIO=F</t>
  </si>
  <si>
    <t>SGX</t>
  </si>
  <si>
    <t>$/dry metric ton</t>
  </si>
  <si>
    <t>$50-$200</t>
  </si>
  <si>
    <t>STEEL HRC SAMPLE DATA (30 TRADING DAYS)</t>
  </si>
  <si>
    <t>Date</t>
  </si>
  <si>
    <t>Open</t>
  </si>
  <si>
    <t>High</t>
  </si>
  <si>
    <t>Low</t>
  </si>
  <si>
    <t>Close</t>
  </si>
  <si>
    <t>Volume</t>
  </si>
  <si>
    <t>Daily Return</t>
  </si>
  <si>
    <t>5D Volatility (ann%)</t>
  </si>
  <si>
    <t>RSI(14)</t>
  </si>
  <si>
    <t>Bollinger Z</t>
  </si>
  <si>
    <t>21D SMA</t>
  </si>
  <si>
    <t>Term Spread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</si>
  <si>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</si>
  <si>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</si>
  <si>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</si>
  <si>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</si>
  <si>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</si>
  <si>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</si>
  <si>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</si>
  <si>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</si>
  <si>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</si>
  <si>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</si>
  <si>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</si>
  <si>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</si>
  <si>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</si>
  <si>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</si>
  <si>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</si>
  <si>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</si>
  <si>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</si>
  <si>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</si>
  <si>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</si>
  <si>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</si>
  <si>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</si>
  <si>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</si>
  <si>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</si>
  <si>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</si>
  <si>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</si>
  <si>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</si>
  <si>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</si>
  <si>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</si>
  <si>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</si>
  <si>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</si>
  <si>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DS-3: MATRISK LAB INFRASTRUCTURE PORTFOLIO (10 ASSETS)</t>
  </si>
  <si>
    <t>These 10 fictional assets are used in the MatRisk Lab simulator across all 6 campaign levels</t>
  </si>
  <si>
    <t>Asset ID</t>
  </si>
  <si>
    <t>Asset Type</t>
  </si>
  <si>
    <t>Sub-Type</t>
  </si>
  <si>
    <t>Primary Material</t>
  </si>
  <si>
    <t>Material Grade</t>
  </si>
  <si>
    <t>Age (years)</t>
  </si>
  <si>
    <t>Design Life (years)</t>
  </si>
  <si>
    <t>Location</t>
  </si>
  <si>
    <t>Climate Zone</t>
  </si>
  <si>
    <t>Condition (1-9)</t>
  </si>
  <si>
    <t>Loan Outstanding ($M)</t>
  </si>
  <si>
    <t>Loan Tenor Remaining (yr)</t>
  </si>
  <si>
    <t>Annual Traffic/Usage</t>
  </si>
  <si>
    <t>Last Inspection</t>
  </si>
  <si>
    <t>Corrosion Environment</t>
  </si>
  <si>
    <t>Insurance Premium ($K/yr)</t>
  </si>
  <si>
    <t>BR-001</t>
  </si>
  <si>
    <t>Bridge</t>
  </si>
  <si>
    <t>Highway</t>
  </si>
  <si>
    <t>Structural Steel</t>
  </si>
  <si>
    <t>ASTM A36</t>
  </si>
  <si>
    <t>Jacksonville, FL</t>
  </si>
  <si>
    <t>Coastal Subtropical</t>
  </si>
  <si>
    <t>35,000 ADT</t>
  </si>
  <si>
    <t>2023-09-15</t>
  </si>
  <si>
    <t>High Chloride</t>
  </si>
  <si>
    <t>BR-002</t>
  </si>
  <si>
    <t>Railroad</t>
  </si>
  <si>
    <t>Weathering Steel</t>
  </si>
  <si>
    <t>ASTM A588</t>
  </si>
  <si>
    <t>Cleveland, OH</t>
  </si>
  <si>
    <t>Industrial Temperate</t>
  </si>
  <si>
    <t>45 trains/day</t>
  </si>
  <si>
    <t>2023-11-20</t>
  </si>
  <si>
    <t>Industrial + De-icing</t>
  </si>
  <si>
    <t>BR-003</t>
  </si>
  <si>
    <t>Pedestrian</t>
  </si>
  <si>
    <t>Stainless Steel</t>
  </si>
  <si>
    <t>316L</t>
  </si>
  <si>
    <t>Chicago, IL</t>
  </si>
  <si>
    <t>Urban Temperate</t>
  </si>
  <si>
    <t>5,000 ped/day</t>
  </si>
  <si>
    <t>Urban + De-icing</t>
  </si>
  <si>
    <t>PL-001</t>
  </si>
  <si>
    <t>Pipeline</t>
  </si>
  <si>
    <t>Oil</t>
  </si>
  <si>
    <t>Carbon Steel</t>
  </si>
  <si>
    <t>API 5L X65</t>
  </si>
  <si>
    <t>Galveston, TX</t>
  </si>
  <si>
    <t>250K bbl/day</t>
  </si>
  <si>
    <t>2023-06-30</t>
  </si>
  <si>
    <t>Coastal + H2S</t>
  </si>
  <si>
    <t>PL-002</t>
  </si>
  <si>
    <t>Natural Gas</t>
  </si>
  <si>
    <t>API 5L X70</t>
  </si>
  <si>
    <t>Casper, WY</t>
  </si>
  <si>
    <t>Inland Arid</t>
  </si>
  <si>
    <t>1.2 BCF/day</t>
  </si>
  <si>
    <t>2024-02-28</t>
  </si>
  <si>
    <t>Mild (inland)</t>
  </si>
  <si>
    <t>BL-001</t>
  </si>
  <si>
    <t>Building</t>
  </si>
  <si>
    <t>Office Tower</t>
  </si>
  <si>
    <t>Reinforced Concrete</t>
  </si>
  <si>
    <t>C40 w/ rebar</t>
  </si>
  <si>
    <t>Miami Beach, FL</t>
  </si>
  <si>
    <t>Coastal Tropical</t>
  </si>
  <si>
    <t>2,500 occupants</t>
  </si>
  <si>
    <t>2023-08-15</t>
  </si>
  <si>
    <t>Severe Chloride</t>
  </si>
  <si>
    <t>BL-002</t>
  </si>
  <si>
    <t>Warehouse</t>
  </si>
  <si>
    <t>Pre-Stressed Concrete</t>
  </si>
  <si>
    <t>C50 PT</t>
  </si>
  <si>
    <t>Savannah, GA</t>
  </si>
  <si>
    <t>Inland Subtropical</t>
  </si>
  <si>
    <t>50 trucks/day</t>
  </si>
  <si>
    <t>2024-03-01</t>
  </si>
  <si>
    <t>Moderate</t>
  </si>
  <si>
    <t>PP-001</t>
  </si>
  <si>
    <t>Power Plant</t>
  </si>
  <si>
    <t>Gas Turbine</t>
  </si>
  <si>
    <t>Ni-based Superalloy</t>
  </si>
  <si>
    <t>Inconel 718</t>
  </si>
  <si>
    <t>Newark, NJ</t>
  </si>
  <si>
    <t>Industrial Coastal</t>
  </si>
  <si>
    <t>500 MW capacity</t>
  </si>
  <si>
    <t>2023-12-01</t>
  </si>
  <si>
    <t>High Temp + Coastal</t>
  </si>
  <si>
    <t>BR-004</t>
  </si>
  <si>
    <t>Prestressed Concrete</t>
  </si>
  <si>
    <t>C60 PT w/ tendons</t>
  </si>
  <si>
    <t>Wilmington, NC</t>
  </si>
  <si>
    <t>42,000 ADT</t>
  </si>
  <si>
    <t>2023-07-20</t>
  </si>
  <si>
    <t>BR-005</t>
  </si>
  <si>
    <t>Composite Steel+Concrete</t>
  </si>
  <si>
    <t>A36 + C40</t>
  </si>
  <si>
    <t>Hartford, CT</t>
  </si>
  <si>
    <t>55,000 ADT</t>
  </si>
  <si>
    <t>2023-10-05</t>
  </si>
  <si>
    <t>Urban + De-icing + Age</t>
  </si>
  <si>
    <t>MATERIAL PROPERTIES FOR PORTFOLIO ASSETS</t>
  </si>
  <si>
    <t>Material</t>
  </si>
  <si>
    <t>Tensile Strength (MPa)</t>
  </si>
  <si>
    <t>Yield Strength (MPa)</t>
  </si>
  <si>
    <t>Corrosion Rate (mm/yr)</t>
  </si>
  <si>
    <t>Paris C</t>
  </si>
  <si>
    <t>Paris m</t>
  </si>
  <si>
    <t>Failure Mode</t>
  </si>
  <si>
    <t>Wall/Cover Thickness (mm)</t>
  </si>
  <si>
    <t>Critical Thickness (mm)</t>
  </si>
  <si>
    <t>A36 Steel</t>
  </si>
  <si>
    <t>Ductile (fatigue)</t>
  </si>
  <si>
    <t>A588 Weathering</t>
  </si>
  <si>
    <t>316L Stainless</t>
  </si>
  <si>
    <t>Pitting corrosion</t>
  </si>
  <si>
    <t>Stress corrosion cracking</t>
  </si>
  <si>
    <t>C40 Concrete + Rebar</t>
  </si>
  <si>
    <t>N/A</t>
  </si>
  <si>
    <t>Punching shear / spalling</t>
  </si>
  <si>
    <t>C50 PT Concrete</t>
  </si>
  <si>
    <t>Tendon corrosion</t>
  </si>
  <si>
    <t>Creep + fatigue</t>
  </si>
  <si>
    <t>C60 PT + Tendons</t>
  </si>
  <si>
    <t>Tendon corrosion / brittle</t>
  </si>
  <si>
    <t>A36 + C40 Composite</t>
  </si>
  <si>
    <t>Combined fatigue + spalling</t>
  </si>
  <si>
    <t>DS-4: MATERIAL-FINANCIAL CROSS-DOMAIN FEATURES (DAILY SNAPSHOT)</t>
  </si>
  <si>
    <t>These features are computed daily by MatRisk AI's cross-domain fusion pipeline | Values as of 2024-01-15</t>
  </si>
  <si>
    <t>MQI (0-100)</t>
  </si>
  <si>
    <t>MQI 21D Trend</t>
  </si>
  <si>
    <t>MQI 63D Trend</t>
  </si>
  <si>
    <t>Supply Disruption Prob (0-1)</t>
  </si>
  <si>
    <t>Substitution Elasticity (0-1)</t>
  </si>
  <si>
    <t>Green Premium ($/kg)</t>
  </si>
  <si>
    <t>Carbon Intensity Virgin (kg CO2/kg)</t>
  </si>
  <si>
    <t>Carbon Intensity Recycled (kg CO2/kg)</t>
  </si>
  <si>
    <t>Herfindahl Index (prod.)</t>
  </si>
  <si>
    <t>Aluminium LME</t>
  </si>
  <si>
    <t>Copper COMEX</t>
  </si>
  <si>
    <t>Nickel LME</t>
  </si>
  <si>
    <t>Rare Earth Index</t>
  </si>
  <si>
    <t>SIGNAL INTERPRETATION GUIDE</t>
  </si>
  <si>
    <t>Feature</t>
  </si>
  <si>
    <t>Bullish Signal</t>
  </si>
  <si>
    <t>Bearish Signal</t>
  </si>
  <si>
    <t>Neutral</t>
  </si>
  <si>
    <t>Trading Relevance</t>
  </si>
  <si>
    <t>MQI</t>
  </si>
  <si>
    <t>&gt; 80 and rising</t>
  </si>
  <si>
    <t>&lt; 65 or falling &gt; 3pts/21D</t>
  </si>
  <si>
    <t>70-80, stable</t>
  </si>
  <si>
    <t>Quality premium direction</t>
  </si>
  <si>
    <t>&gt; +2.0</t>
  </si>
  <si>
    <t>&lt; -2.0</t>
  </si>
  <si>
    <t>-2.0 to +2.0</t>
  </si>
  <si>
    <t>Short-term alpha signal</t>
  </si>
  <si>
    <t>Supply Disruption Prob</t>
  </si>
  <si>
    <t>&gt; 0.6 (imminent risk)</t>
  </si>
  <si>
    <t>&lt; 0.2 (supply secure)</t>
  </si>
  <si>
    <t>0.2-0.6</t>
  </si>
  <si>
    <t>Position sizing / hedging</t>
  </si>
  <si>
    <t>Substitution Elasticity</t>
  </si>
  <si>
    <t>&lt; 0.2 (price inelastic)</t>
  </si>
  <si>
    <t>&gt; 0.6 (substitution dampens)</t>
  </si>
  <si>
    <t>Shock persistence estimate</t>
  </si>
  <si>
    <t>Green Premium</t>
  </si>
  <si>
    <t>Rising (ESG demand)</t>
  </si>
  <si>
    <t>Falling (market normalising)</t>
  </si>
  <si>
    <t>Stable</t>
  </si>
  <si>
    <t>ESG portfolio adjustment</t>
  </si>
  <si>
    <t>Herfindahl Index</t>
  </si>
  <si>
    <t>&gt; 0.5 (concentrated supply)</t>
  </si>
  <si>
    <t>&lt; 0.15 (diversified)</t>
  </si>
  <si>
    <t>0.15-0.5</t>
  </si>
  <si>
    <t>Supply risk assessment</t>
  </si>
  <si>
    <t>DS-5: STRESS TEST SCENARIO PARAMETERS</t>
  </si>
  <si>
    <t>Parameters for Monte Carlo simulation (10,000 paths each) | Use for stress testing engine and MatRisk Lab simulator</t>
  </si>
  <si>
    <t>Scenario ID</t>
  </si>
  <si>
    <t>Scenario Name</t>
  </si>
  <si>
    <t>Shock Type</t>
  </si>
  <si>
    <t>Shock Magnitude</t>
  </si>
  <si>
    <t>Shock Distribution</t>
  </si>
  <si>
    <t>Duration (quarters)</t>
  </si>
  <si>
    <t>Affected Commodities</t>
  </si>
  <si>
    <t>Affected Assets</t>
  </si>
  <si>
    <t>Historical Precedent</t>
  </si>
  <si>
    <t>Calibration Source</t>
  </si>
  <si>
    <t>SC-001</t>
  </si>
  <si>
    <t>Rare Earth Supply Crisis</t>
  </si>
  <si>
    <t>Supply restriction</t>
  </si>
  <si>
    <t>40% export reduction</t>
  </si>
  <si>
    <t>Step function + N(0,5%) noise</t>
  </si>
  <si>
    <t>3-4</t>
  </si>
  <si>
    <t>Rare earths, lithium, cobalt</t>
  </si>
  <si>
    <t>China 2010 quota</t>
  </si>
  <si>
    <t>USGS + Reuters 2010</t>
  </si>
  <si>
    <t>SC-002</t>
  </si>
  <si>
    <t>Steel Quality Degradation</t>
  </si>
  <si>
    <t>Quality shock</t>
  </si>
  <si>
    <t>15% tensile strength drop</t>
  </si>
  <si>
    <t>Gradual (linear over 2Q)</t>
  </si>
  <si>
    <t>2-3</t>
  </si>
  <si>
    <t>Steel HRC, iron ore</t>
  </si>
  <si>
    <t>BR-001, BR-002, BR-005</t>
  </si>
  <si>
    <t>Quality issues at major mills</t>
  </si>
  <si>
    <t>Industry reports</t>
  </si>
  <si>
    <t>SC-003</t>
  </si>
  <si>
    <t>Climate-Accelerated Corrosion</t>
  </si>
  <si>
    <t>Environmental</t>
  </si>
  <si>
    <t>30% corrosion rate increase</t>
  </si>
  <si>
    <t>Permanent step + seasonal</t>
  </si>
  <si>
    <t>Permanent</t>
  </si>
  <si>
    <t>All metals (indirect)</t>
  </si>
  <si>
    <t>All coastal: BR-001,PL-001,BL-001,BR-004</t>
  </si>
  <si>
    <t>IPCC AR6 +2°C</t>
  </si>
  <si>
    <t>IPCC + corrosion lit.</t>
  </si>
  <si>
    <t>SC-004</t>
  </si>
  <si>
    <t>Recycled Material Mandate</t>
  </si>
  <si>
    <t>Regulatory</t>
  </si>
  <si>
    <t>50% recycled content req.</t>
  </si>
  <si>
    <t>Phase-in (linear 4Q)</t>
  </si>
  <si>
    <t>4-6 (phase-in)</t>
  </si>
  <si>
    <t>Aluminium, steel, copper</t>
  </si>
  <si>
    <t>All (compliance cost)</t>
  </si>
  <si>
    <t>EU Circular Economy</t>
  </si>
  <si>
    <t>EU regulation text</t>
  </si>
  <si>
    <t>SC-005</t>
  </si>
  <si>
    <t>Novel Alloy Disruption</t>
  </si>
  <si>
    <t>Technology</t>
  </si>
  <si>
    <t>New alloy: 20% stronger, 15% cheaper</t>
  </si>
  <si>
    <t>S-curve adoption</t>
  </si>
  <si>
    <t>6-8 (adoption)</t>
  </si>
  <si>
    <t>Steel, titanium</t>
  </si>
  <si>
    <t>All steel bridges</t>
  </si>
  <si>
    <t>Historical alloy transitions</t>
  </si>
  <si>
    <t>Technology adoption lit.</t>
  </si>
  <si>
    <t>DETAILED SHOCK PARAMETERS FOR MONTE CARLO</t>
  </si>
  <si>
    <t>Scenario</t>
  </si>
  <si>
    <t>Price Impact (mean %)</t>
  </si>
  <si>
    <t>Price Impact (σ %)</t>
  </si>
  <si>
    <t>RUL Impact (mean %)</t>
  </si>
  <si>
    <t>RUL Impact (σ %)</t>
  </si>
  <si>
    <t>Insurance Loss Mult.</t>
  </si>
  <si>
    <t>Recovery Time (Q)</t>
  </si>
  <si>
    <t>Correlation w/ equity</t>
  </si>
  <si>
    <t>8-12</t>
  </si>
  <si>
    <t>4-6</t>
  </si>
  <si>
    <t>All metals</t>
  </si>
  <si>
    <t>Aluminium (virgin)</t>
  </si>
  <si>
    <t>6-8</t>
  </si>
  <si>
    <t>Aluminium (recycled)</t>
  </si>
  <si>
    <t>Titanium</t>
  </si>
  <si>
    <t>COMPLETE DATA DICTIONARY — ALL DATASETS</t>
  </si>
  <si>
    <t>Dataset</t>
  </si>
  <si>
    <t>Field Name</t>
  </si>
  <si>
    <t>Data Type</t>
  </si>
  <si>
    <t>Unit / Format</t>
  </si>
  <si>
    <t>Valid Range / Constraint</t>
  </si>
  <si>
    <t>Description</t>
  </si>
  <si>
    <t>DS-1</t>
  </si>
  <si>
    <t>material_id</t>
  </si>
  <si>
    <t>String</t>
  </si>
  <si>
    <t>mp-XXXXX</t>
  </si>
  <si>
    <t>Materials Project format</t>
  </si>
  <si>
    <t>Unique material identifier from Materials Project database</t>
  </si>
  <si>
    <t>formula_pretty</t>
  </si>
  <si>
    <t>Chemical formula</t>
  </si>
  <si>
    <t>Valid elements only</t>
  </si>
  <si>
    <t>Reduced chemical formula (e.g., Fe2O3)</t>
  </si>
  <si>
    <t>crystal_system</t>
  </si>
  <si>
    <t>Categorical</t>
  </si>
  <si>
    <t>Text</t>
  </si>
  <si>
    <t>7 systems only</t>
  </si>
  <si>
    <t>cubic|hexagonal|tetragonal|orthorhombic|monoclinic|triclinic|trigonal</t>
  </si>
  <si>
    <t>spacegroup_number</t>
  </si>
  <si>
    <t>Integer</t>
  </si>
  <si>
    <t>1-230</t>
  </si>
  <si>
    <t>1 ≤ n ≤ 230</t>
  </si>
  <si>
    <t>International space group number</t>
  </si>
  <si>
    <t>formation_energy_per_atom</t>
  </si>
  <si>
    <t>Float</t>
  </si>
  <si>
    <t>eV/atom</t>
  </si>
  <si>
    <t>-5.0 to +2.0</t>
  </si>
  <si>
    <t>DFT-computed formation energy. Negative = stable compound.</t>
  </si>
  <si>
    <t>band_gap</t>
  </si>
  <si>
    <t>eV</t>
  </si>
  <si>
    <t>0.0 to 12.0</t>
  </si>
  <si>
    <t>Electronic band gap. 0 = metal. PBE underestimates by 30-50%.</t>
  </si>
  <si>
    <t>bulk_modulus_vrh</t>
  </si>
  <si>
    <t>GPa</t>
  </si>
  <si>
    <t>K &gt; 0, typically 1-450</t>
  </si>
  <si>
    <t>Voigt-Reuss-Hill average bulk modulus. Resistance to compression.</t>
  </si>
  <si>
    <t>shear_modulus_vrh</t>
  </si>
  <si>
    <t>G &gt; 0, typically 0.5-250</t>
  </si>
  <si>
    <t>VRH shear modulus. Must satisfy E=2G(1+ν)=3K(1-2ν).</t>
  </si>
  <si>
    <t>poisson_ratio</t>
  </si>
  <si>
    <t>dimensionless</t>
  </si>
  <si>
    <t>-1 &lt; ν &lt; 0.5</t>
  </si>
  <si>
    <t>Thermodynamic bound. Most materials: 0.2-0.35.</t>
  </si>
  <si>
    <t>density</t>
  </si>
  <si>
    <t>g/cm³</t>
  </si>
  <si>
    <t>ρ &gt; 0, typically 0.5-23</t>
  </si>
  <si>
    <t>Computed from unit cell volume and composition.</t>
  </si>
  <si>
    <t>DS-2</t>
  </si>
  <si>
    <t>date</t>
  </si>
  <si>
    <t>YYYY-MM-DD</t>
  </si>
  <si>
    <t>Business days only</t>
  </si>
  <si>
    <t>Trading date. Excludes weekends and exchange holidays.</t>
  </si>
  <si>
    <t>close</t>
  </si>
  <si>
    <t>$/unit</t>
  </si>
  <si>
    <t>&gt; 0</t>
  </si>
  <si>
    <t>Daily closing price. Unit depends on commodity (see ticker ref).</t>
  </si>
  <si>
    <t>daily_return</t>
  </si>
  <si>
    <t>decimal</t>
  </si>
  <si>
    <t>Typically -0.1 to +0.1</t>
  </si>
  <si>
    <t>Log return: ln(close_t / close_{t-1}). NaN for first day.</t>
  </si>
  <si>
    <t>vol_5d</t>
  </si>
  <si>
    <t>% annualised</t>
  </si>
  <si>
    <t>5-day rolling volatility = std(5 returns) × √252 × 100.</t>
  </si>
  <si>
    <t>rsi_14</t>
  </si>
  <si>
    <t>0-100</t>
  </si>
  <si>
    <t>0 ≤ RSI ≤ 100</t>
  </si>
  <si>
    <t>14-day RSI. &gt;70 overbought, &lt;30 oversold.</t>
  </si>
  <si>
    <t>bollinger_z</t>
  </si>
  <si>
    <t>z-score</t>
  </si>
  <si>
    <t>Typically -3 to +3</t>
  </si>
  <si>
    <t>(Price - 63D SMA) / 63D StdDev.</t>
  </si>
  <si>
    <t>term_spread</t>
  </si>
  <si>
    <t>Neg = backwardation</t>
  </si>
  <si>
    <t>2nd month - front month futures price.</t>
  </si>
  <si>
    <t>DS-3</t>
  </si>
  <si>
    <t>asset_id</t>
  </si>
  <si>
    <t>TT-NNN</t>
  </si>
  <si>
    <t>BR/PL/BL/PP prefix</t>
  </si>
  <si>
    <t>Unique asset identifier. Type prefix + sequential number.</t>
  </si>
  <si>
    <t>condition_rating</t>
  </si>
  <si>
    <t>1-9 (NBI)</t>
  </si>
  <si>
    <t>1 ≤ r ≤ 9</t>
  </si>
  <si>
    <t>NBI standard: 9=excellent, 7=good, 5=fair, 3=serious, 1=imminent fail</t>
  </si>
  <si>
    <t>corrosion_rate</t>
  </si>
  <si>
    <t>mm/year</t>
  </si>
  <si>
    <t>Annual material loss rate. Depends on material + environment.</t>
  </si>
  <si>
    <t>paris_C</t>
  </si>
  <si>
    <t>m/cycle</t>
  </si>
  <si>
    <t>&gt; 0 (metals only)</t>
  </si>
  <si>
    <t>Paris Law constant C. Material-specific. N/A for concrete.</t>
  </si>
  <si>
    <t>paris_m</t>
  </si>
  <si>
    <t>Typically 2-4</t>
  </si>
  <si>
    <t>Paris Law exponent m. Higher = faster crack growth.</t>
  </si>
  <si>
    <t>DS-4</t>
  </si>
  <si>
    <t>0 ≤ MQI ≤ 100</t>
  </si>
  <si>
    <t>Material Quality Index. Composite of CGNN-predicted quality metrics.</t>
  </si>
  <si>
    <t>MQI_21D_trend</t>
  </si>
  <si>
    <t>points/21D</t>
  </si>
  <si>
    <t>Typically -10 to +10</t>
  </si>
  <si>
    <t>21-day rate of change in MQI. Primary alpha signal.</t>
  </si>
  <si>
    <t>supply_disruption_prob</t>
  </si>
  <si>
    <t>probability</t>
  </si>
  <si>
    <t>0 ≤ p ≤ 1</t>
  </si>
  <si>
    <t>90-day supply disruption probability. &gt;0.5 = elevated risk.</t>
  </si>
  <si>
    <t>substitution_elasticity</t>
  </si>
  <si>
    <t>0-1</t>
  </si>
  <si>
    <t>0 ≤ e ≤ 1</t>
  </si>
  <si>
    <t>Ease of material replacement. 0=no subs, 1=readily substitutable.</t>
  </si>
  <si>
    <t>green_premium</t>
  </si>
  <si>
    <t>$/kg</t>
  </si>
  <si>
    <t>Can be negative</t>
  </si>
  <si>
    <t>Price differential: recycled - virgin. Positive = recycled costs more.</t>
  </si>
  <si>
    <t>DS-5</t>
  </si>
  <si>
    <t>shock_magnitude</t>
  </si>
  <si>
    <t>Descriptive</t>
  </si>
  <si>
    <t>Per scenario</t>
  </si>
  <si>
    <t>Nature and size of the material shock event.</t>
  </si>
  <si>
    <t>price_impact_mean</t>
  </si>
  <si>
    <t>% change</t>
  </si>
  <si>
    <t>Expected commodity price change from shock. Mean of distribution.</t>
  </si>
  <si>
    <t>rul_impact_mean</t>
  </si>
  <si>
    <t>Typically negative</t>
  </si>
  <si>
    <t>Expected change in infrastructure RUL. Negative = shortened life.</t>
  </si>
  <si>
    <t>insurance_loss_mult</t>
  </si>
  <si>
    <t>multiplier</t>
  </si>
  <si>
    <t>≥ 1.0 (or &lt; 1.0 for beneficial)</t>
  </si>
  <si>
    <t>Multiplier on baseline insurance loss frequency during scenario.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</si>
</sst>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rgb="FF1F4D78"/>
      <name val="Arial"/>
    </font>
    <font>
      <i/>
      <sz val="9"/>
      <color rgb="FF666666"/>
      <name val="Arial"/>
    </font>
    <font>
      <b/>
      <sz val="10"/>
      <color rgb="FFC0392B"/>
      <name val="Arial"/>
    </font>
    <font>
      <b/>
      <sz val="10"/>
      <color rgb="FFFFFFFF"/>
      <name val="Arial"/>
    </font>
    <font>
      <sz val="10"/>
      <name val="Arial"/>
    </font>
    <font>
      <b/>
      <sz val="11"/>
      <color rgb="FF2E74B5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4B5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3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"/>
  <sheetViews>
    <sheetView workbookViewId="0">
      <selection activeCell="A11" sqref="A11"/>
    </sheetView>
  </sheetViews>
  <sheetFormatPr defaultRowHeight="14.5" x14ac:dyDescent="0.35"/>
  <cols>
    <col min="1" max="1" width="12" customWidth="1"/>
    <col min="2" max="2" width="28" customWidth="1"/>
    <col min="3" max="4" width="14" customWidth="1"/>
    <col min="5" max="5" width="16" customWidth="1"/>
    <col min="6" max="6" width="20" customWidth="1"/>
    <col min="7" max="7" width="14" customWidth="1"/>
    <col min="8" max="9" width="18" customWidth="1"/>
    <col min="10" max="11" width="14" customWidth="1"/>
    <col min="12" max="12" width="20" customWidth="1"/>
  </cols>
  <sheetData>
    <row r="1" spans="1:12" ht="18" x14ac:dyDescent="0.4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35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x14ac:dyDescent="0.35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5" spans="1:12" ht="26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</row>
    <row r="6" spans="1:12" x14ac:dyDescent="0.35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>
        <v>0</v>
      </c>
      <c r="G6" s="2">
        <v>0</v>
      </c>
      <c r="H6" s="2">
        <v>170</v>
      </c>
      <c r="I6" s="2">
        <v>82</v>
      </c>
      <c r="J6" s="2">
        <v>0.28999999999999998</v>
      </c>
      <c r="K6" s="2">
        <v>7.87</v>
      </c>
      <c r="L6" s="2" t="s">
        <v>20</v>
      </c>
    </row>
    <row r="7" spans="1:12" x14ac:dyDescent="0.35">
      <c r="A7" s="3" t="s">
        <v>21</v>
      </c>
      <c r="B7" s="3" t="s">
        <v>22</v>
      </c>
      <c r="C7" s="3" t="s">
        <v>23</v>
      </c>
      <c r="D7" s="3" t="s">
        <v>18</v>
      </c>
      <c r="E7" s="3" t="s">
        <v>24</v>
      </c>
      <c r="F7" s="3">
        <v>0</v>
      </c>
      <c r="G7" s="3">
        <v>0</v>
      </c>
      <c r="H7" s="3">
        <v>76</v>
      </c>
      <c r="I7" s="3">
        <v>26</v>
      </c>
      <c r="J7" s="3">
        <v>0.35</v>
      </c>
      <c r="K7" s="3">
        <v>2.7</v>
      </c>
      <c r="L7" s="3" t="s">
        <v>20</v>
      </c>
    </row>
    <row r="8" spans="1:12" x14ac:dyDescent="0.35">
      <c r="A8" s="2" t="s">
        <v>25</v>
      </c>
      <c r="B8" s="2" t="s">
        <v>26</v>
      </c>
      <c r="C8" s="2" t="s">
        <v>27</v>
      </c>
      <c r="D8" s="2" t="s">
        <v>18</v>
      </c>
      <c r="E8" s="2" t="s">
        <v>24</v>
      </c>
      <c r="F8" s="2">
        <v>0</v>
      </c>
      <c r="G8" s="2">
        <v>0</v>
      </c>
      <c r="H8" s="2">
        <v>140</v>
      </c>
      <c r="I8" s="2">
        <v>48</v>
      </c>
      <c r="J8" s="2">
        <v>0.34</v>
      </c>
      <c r="K8" s="2">
        <v>8.9600000000000009</v>
      </c>
      <c r="L8" s="2" t="s">
        <v>20</v>
      </c>
    </row>
    <row r="9" spans="1:12" x14ac:dyDescent="0.35">
      <c r="A9" s="3" t="s">
        <v>28</v>
      </c>
      <c r="B9" s="3" t="s">
        <v>29</v>
      </c>
      <c r="C9" s="3" t="s">
        <v>30</v>
      </c>
      <c r="D9" s="3" t="s">
        <v>31</v>
      </c>
      <c r="E9" s="3" t="s">
        <v>32</v>
      </c>
      <c r="F9" s="3">
        <v>0</v>
      </c>
      <c r="G9" s="3">
        <v>0</v>
      </c>
      <c r="H9" s="3">
        <v>110</v>
      </c>
      <c r="I9" s="3">
        <v>44</v>
      </c>
      <c r="J9" s="3">
        <v>0.32</v>
      </c>
      <c r="K9" s="3">
        <v>4.51</v>
      </c>
      <c r="L9" s="3" t="s">
        <v>20</v>
      </c>
    </row>
    <row r="10" spans="1:12" x14ac:dyDescent="0.35">
      <c r="A10" s="2" t="s">
        <v>33</v>
      </c>
      <c r="B10" s="2" t="s">
        <v>34</v>
      </c>
      <c r="C10" s="2" t="s">
        <v>35</v>
      </c>
      <c r="D10" s="2" t="s">
        <v>18</v>
      </c>
      <c r="E10" s="2" t="s">
        <v>36</v>
      </c>
      <c r="F10" s="2">
        <v>-0.46</v>
      </c>
      <c r="G10" s="2">
        <v>1.1200000000000001</v>
      </c>
      <c r="H10" s="2">
        <v>98</v>
      </c>
      <c r="I10" s="2">
        <v>66</v>
      </c>
      <c r="J10" s="2">
        <v>0.22</v>
      </c>
      <c r="K10" s="2">
        <v>2.33</v>
      </c>
      <c r="L10" s="2" t="s">
        <v>37</v>
      </c>
    </row>
    <row r="11" spans="1:12" x14ac:dyDescent="0.35">
      <c r="A11" s="3" t="s">
        <v>38</v>
      </c>
      <c r="B11" s="3" t="s">
        <v>39</v>
      </c>
      <c r="C11" s="3" t="s">
        <v>40</v>
      </c>
      <c r="D11" s="3" t="s">
        <v>18</v>
      </c>
      <c r="E11" s="3" t="s">
        <v>24</v>
      </c>
      <c r="F11" s="3">
        <v>0</v>
      </c>
      <c r="G11" s="3">
        <v>0</v>
      </c>
      <c r="H11" s="3">
        <v>180</v>
      </c>
      <c r="I11" s="3">
        <v>76</v>
      </c>
      <c r="J11" s="3">
        <v>0.31</v>
      </c>
      <c r="K11" s="3">
        <v>8.91</v>
      </c>
      <c r="L11" s="3" t="s">
        <v>20</v>
      </c>
    </row>
    <row r="12" spans="1:12" x14ac:dyDescent="0.35">
      <c r="A12" s="2" t="s">
        <v>41</v>
      </c>
      <c r="B12" s="2" t="s">
        <v>42</v>
      </c>
      <c r="C12" s="2" t="s">
        <v>43</v>
      </c>
      <c r="D12" s="2" t="s">
        <v>18</v>
      </c>
      <c r="E12" s="2" t="s">
        <v>19</v>
      </c>
      <c r="F12" s="2">
        <v>0</v>
      </c>
      <c r="G12" s="2">
        <v>0</v>
      </c>
      <c r="H12" s="2">
        <v>310</v>
      </c>
      <c r="I12" s="2">
        <v>161</v>
      </c>
      <c r="J12" s="2">
        <v>0.28000000000000003</v>
      </c>
      <c r="K12" s="2">
        <v>19.25</v>
      </c>
      <c r="L12" s="2" t="s">
        <v>44</v>
      </c>
    </row>
    <row r="13" spans="1:12" x14ac:dyDescent="0.35">
      <c r="A13" s="3" t="s">
        <v>45</v>
      </c>
      <c r="B13" s="3" t="s">
        <v>46</v>
      </c>
      <c r="C13" s="3" t="s">
        <v>47</v>
      </c>
      <c r="D13" s="3" t="s">
        <v>48</v>
      </c>
      <c r="E13" s="3" t="s">
        <v>49</v>
      </c>
      <c r="F13" s="3">
        <v>-2.83</v>
      </c>
      <c r="G13" s="3">
        <v>2.2000000000000002</v>
      </c>
      <c r="H13" s="3">
        <v>178</v>
      </c>
      <c r="I13" s="3">
        <v>90</v>
      </c>
      <c r="J13" s="3">
        <v>0.27</v>
      </c>
      <c r="K13" s="3">
        <v>5.26</v>
      </c>
      <c r="L13" s="3" t="s">
        <v>50</v>
      </c>
    </row>
    <row r="14" spans="1:12" x14ac:dyDescent="0.35">
      <c r="A14" s="2" t="s">
        <v>51</v>
      </c>
      <c r="B14" s="2" t="s">
        <v>52</v>
      </c>
      <c r="C14" s="2" t="s">
        <v>53</v>
      </c>
      <c r="D14" s="2" t="s">
        <v>48</v>
      </c>
      <c r="E14" s="2" t="s">
        <v>49</v>
      </c>
      <c r="F14" s="2">
        <v>-3.47</v>
      </c>
      <c r="G14" s="2">
        <v>8.8000000000000007</v>
      </c>
      <c r="H14" s="2">
        <v>254</v>
      </c>
      <c r="I14" s="2">
        <v>163</v>
      </c>
      <c r="J14" s="2">
        <v>0.24</v>
      </c>
      <c r="K14" s="2">
        <v>3.99</v>
      </c>
      <c r="L14" s="2" t="s">
        <v>54</v>
      </c>
    </row>
    <row r="15" spans="1:12" x14ac:dyDescent="0.35">
      <c r="A15" s="3" t="s">
        <v>55</v>
      </c>
      <c r="B15" s="3" t="s">
        <v>56</v>
      </c>
      <c r="C15" s="3" t="s">
        <v>57</v>
      </c>
      <c r="D15" s="3" t="s">
        <v>58</v>
      </c>
      <c r="E15" s="3" t="s">
        <v>59</v>
      </c>
      <c r="F15" s="3">
        <v>-3.46</v>
      </c>
      <c r="G15" s="3">
        <v>3.05</v>
      </c>
      <c r="H15" s="3">
        <v>220</v>
      </c>
      <c r="I15" s="3">
        <v>110</v>
      </c>
      <c r="J15" s="3">
        <v>0.28000000000000003</v>
      </c>
      <c r="K15" s="3">
        <v>4.2300000000000004</v>
      </c>
      <c r="L15" s="3" t="s">
        <v>54</v>
      </c>
    </row>
    <row r="16" spans="1:12" x14ac:dyDescent="0.35">
      <c r="A16" s="2" t="s">
        <v>60</v>
      </c>
      <c r="B16" s="2" t="s">
        <v>61</v>
      </c>
      <c r="C16" s="2" t="s">
        <v>62</v>
      </c>
      <c r="D16" s="2" t="s">
        <v>18</v>
      </c>
      <c r="E16" s="2" t="s">
        <v>24</v>
      </c>
      <c r="F16" s="2">
        <v>-3.43</v>
      </c>
      <c r="G16" s="2">
        <v>5</v>
      </c>
      <c r="H16" s="2">
        <v>25</v>
      </c>
      <c r="I16" s="2">
        <v>13</v>
      </c>
      <c r="J16" s="2">
        <v>0.25</v>
      </c>
      <c r="K16" s="2">
        <v>2.16</v>
      </c>
      <c r="L16" s="2" t="s">
        <v>63</v>
      </c>
    </row>
    <row r="17" spans="1:12" x14ac:dyDescent="0.35">
      <c r="A17" s="3" t="s">
        <v>64</v>
      </c>
      <c r="B17" s="3" t="s">
        <v>65</v>
      </c>
      <c r="C17" s="3" t="s">
        <v>66</v>
      </c>
      <c r="D17" s="3" t="s">
        <v>18</v>
      </c>
      <c r="E17" s="3" t="s">
        <v>67</v>
      </c>
      <c r="F17" s="3">
        <v>-0.65</v>
      </c>
      <c r="G17" s="3">
        <v>1.42</v>
      </c>
      <c r="H17" s="3">
        <v>75</v>
      </c>
      <c r="I17" s="3">
        <v>33</v>
      </c>
      <c r="J17" s="3">
        <v>0.31</v>
      </c>
      <c r="K17" s="3">
        <v>5.32</v>
      </c>
      <c r="L17" s="3" t="s">
        <v>37</v>
      </c>
    </row>
    <row r="18" spans="1:12" x14ac:dyDescent="0.35">
      <c r="A18" s="2" t="s">
        <v>68</v>
      </c>
      <c r="B18" s="2" t="s">
        <v>69</v>
      </c>
      <c r="C18" s="2" t="s">
        <v>70</v>
      </c>
      <c r="D18" s="2" t="s">
        <v>31</v>
      </c>
      <c r="E18" s="2" t="s">
        <v>71</v>
      </c>
      <c r="F18" s="2">
        <v>-3.1</v>
      </c>
      <c r="G18" s="2">
        <v>3.37</v>
      </c>
      <c r="H18" s="2">
        <v>143</v>
      </c>
      <c r="I18" s="2">
        <v>44</v>
      </c>
      <c r="J18" s="2">
        <v>0.36</v>
      </c>
      <c r="K18" s="2">
        <v>5.61</v>
      </c>
      <c r="L18" s="2" t="s">
        <v>72</v>
      </c>
    </row>
    <row r="19" spans="1:12" x14ac:dyDescent="0.35">
      <c r="A19" s="3" t="s">
        <v>73</v>
      </c>
      <c r="B19" s="3" t="s">
        <v>74</v>
      </c>
      <c r="C19" s="3" t="s">
        <v>75</v>
      </c>
      <c r="D19" s="3" t="s">
        <v>18</v>
      </c>
      <c r="E19" s="3" t="s">
        <v>24</v>
      </c>
      <c r="F19" s="3">
        <v>-6.1</v>
      </c>
      <c r="G19" s="3">
        <v>11.8</v>
      </c>
      <c r="H19" s="3">
        <v>83</v>
      </c>
      <c r="I19" s="3">
        <v>42</v>
      </c>
      <c r="J19" s="3">
        <v>0.27</v>
      </c>
      <c r="K19" s="3">
        <v>3.18</v>
      </c>
      <c r="L19" s="3" t="s">
        <v>76</v>
      </c>
    </row>
    <row r="20" spans="1:12" x14ac:dyDescent="0.35">
      <c r="A20" s="2" t="s">
        <v>77</v>
      </c>
      <c r="B20" s="2" t="s">
        <v>78</v>
      </c>
      <c r="C20" s="2" t="s">
        <v>79</v>
      </c>
      <c r="D20" s="2" t="s">
        <v>18</v>
      </c>
      <c r="E20" s="2" t="s">
        <v>24</v>
      </c>
      <c r="F20" s="2">
        <v>-5.99</v>
      </c>
      <c r="G20" s="2">
        <v>7.8</v>
      </c>
      <c r="H20" s="2">
        <v>160</v>
      </c>
      <c r="I20" s="2">
        <v>131</v>
      </c>
      <c r="J20" s="2">
        <v>0.18</v>
      </c>
      <c r="K20" s="2">
        <v>3.58</v>
      </c>
      <c r="L20" s="2" t="s">
        <v>54</v>
      </c>
    </row>
    <row r="21" spans="1:12" x14ac:dyDescent="0.35">
      <c r="A21" s="3" t="s">
        <v>80</v>
      </c>
      <c r="B21" s="3" t="s">
        <v>81</v>
      </c>
      <c r="C21" s="3" t="s">
        <v>82</v>
      </c>
      <c r="D21" s="3" t="s">
        <v>31</v>
      </c>
      <c r="E21" s="3" t="s">
        <v>32</v>
      </c>
      <c r="F21" s="3">
        <v>0</v>
      </c>
      <c r="G21" s="3">
        <v>0</v>
      </c>
      <c r="H21" s="3">
        <v>70</v>
      </c>
      <c r="I21" s="3">
        <v>43</v>
      </c>
      <c r="J21" s="3">
        <v>0.25</v>
      </c>
      <c r="K21" s="3">
        <v>7.13</v>
      </c>
      <c r="L21" s="3" t="s">
        <v>20</v>
      </c>
    </row>
    <row r="22" spans="1:12" x14ac:dyDescent="0.35">
      <c r="A22" s="2" t="s">
        <v>83</v>
      </c>
      <c r="B22" s="2" t="s">
        <v>84</v>
      </c>
      <c r="C22" s="2" t="s">
        <v>85</v>
      </c>
      <c r="D22" s="2" t="s">
        <v>31</v>
      </c>
      <c r="E22" s="2" t="s">
        <v>32</v>
      </c>
      <c r="F22" s="2">
        <v>0</v>
      </c>
      <c r="G22" s="2">
        <v>0</v>
      </c>
      <c r="H22" s="2">
        <v>35</v>
      </c>
      <c r="I22" s="2">
        <v>17</v>
      </c>
      <c r="J22" s="2">
        <v>0.28999999999999998</v>
      </c>
      <c r="K22" s="2">
        <v>1.74</v>
      </c>
      <c r="L22" s="2" t="s">
        <v>86</v>
      </c>
    </row>
    <row r="23" spans="1:12" x14ac:dyDescent="0.35">
      <c r="A23" s="3" t="s">
        <v>87</v>
      </c>
      <c r="B23" s="3" t="s">
        <v>88</v>
      </c>
      <c r="C23" s="3" t="s">
        <v>89</v>
      </c>
      <c r="D23" s="3" t="s">
        <v>90</v>
      </c>
      <c r="E23" s="3" t="s">
        <v>91</v>
      </c>
      <c r="F23" s="3">
        <v>-3.64</v>
      </c>
      <c r="G23" s="3">
        <v>5.3</v>
      </c>
      <c r="H23" s="3">
        <v>190</v>
      </c>
      <c r="I23" s="3">
        <v>88</v>
      </c>
      <c r="J23" s="3">
        <v>0.3</v>
      </c>
      <c r="K23" s="3">
        <v>5.68</v>
      </c>
      <c r="L23" s="3" t="s">
        <v>54</v>
      </c>
    </row>
    <row r="24" spans="1:12" x14ac:dyDescent="0.35">
      <c r="A24" s="2" t="s">
        <v>92</v>
      </c>
      <c r="B24" s="2" t="s">
        <v>93</v>
      </c>
      <c r="C24" s="2" t="s">
        <v>94</v>
      </c>
      <c r="D24" s="2" t="s">
        <v>58</v>
      </c>
      <c r="E24" s="2" t="s">
        <v>95</v>
      </c>
      <c r="F24" s="2">
        <v>-3.28</v>
      </c>
      <c r="G24" s="2">
        <v>1.73</v>
      </c>
      <c r="H24" s="2">
        <v>128</v>
      </c>
      <c r="I24" s="2">
        <v>55</v>
      </c>
      <c r="J24" s="2">
        <v>0.31</v>
      </c>
      <c r="K24" s="2">
        <v>6.02</v>
      </c>
      <c r="L24" s="2" t="s">
        <v>96</v>
      </c>
    </row>
    <row r="25" spans="1:12" x14ac:dyDescent="0.35">
      <c r="A25" s="3" t="s">
        <v>97</v>
      </c>
      <c r="B25" s="3" t="s">
        <v>98</v>
      </c>
      <c r="C25" s="3" t="s">
        <v>99</v>
      </c>
      <c r="D25" s="3" t="s">
        <v>48</v>
      </c>
      <c r="E25" s="3" t="s">
        <v>100</v>
      </c>
      <c r="F25" s="3">
        <v>-2.1800000000000002</v>
      </c>
      <c r="G25" s="3">
        <v>2.6</v>
      </c>
      <c r="H25" s="3">
        <v>145</v>
      </c>
      <c r="I25" s="3">
        <v>68</v>
      </c>
      <c r="J25" s="3">
        <v>0.3</v>
      </c>
      <c r="K25" s="3">
        <v>5.0599999999999996</v>
      </c>
      <c r="L25" s="3" t="s">
        <v>101</v>
      </c>
    </row>
    <row r="26" spans="1:12" x14ac:dyDescent="0.35">
      <c r="A26" s="2" t="s">
        <v>102</v>
      </c>
      <c r="B26" s="2" t="s">
        <v>103</v>
      </c>
      <c r="C26" s="2" t="s">
        <v>104</v>
      </c>
      <c r="D26" s="2" t="s">
        <v>105</v>
      </c>
      <c r="E26" s="2" t="s">
        <v>106</v>
      </c>
      <c r="F26" s="2">
        <v>-3.85</v>
      </c>
      <c r="G26" s="2">
        <v>3.8</v>
      </c>
      <c r="H26" s="2">
        <v>102</v>
      </c>
      <c r="I26" s="2">
        <v>48</v>
      </c>
      <c r="J26" s="2">
        <v>0.3</v>
      </c>
      <c r="K26" s="2">
        <v>3.6</v>
      </c>
      <c r="L26" s="2" t="s">
        <v>101</v>
      </c>
    </row>
    <row r="27" spans="1:12" x14ac:dyDescent="0.35">
      <c r="A27" s="3" t="s">
        <v>107</v>
      </c>
      <c r="B27" s="3" t="s">
        <v>108</v>
      </c>
      <c r="C27" s="3" t="s">
        <v>109</v>
      </c>
      <c r="D27" s="3" t="s">
        <v>105</v>
      </c>
      <c r="E27" s="3" t="s">
        <v>110</v>
      </c>
      <c r="F27" s="3">
        <v>-2.4500000000000002</v>
      </c>
      <c r="G27" s="3">
        <v>3.1</v>
      </c>
      <c r="H27" s="3">
        <v>115</v>
      </c>
      <c r="I27" s="3">
        <v>42</v>
      </c>
      <c r="J27" s="3">
        <v>0.33</v>
      </c>
      <c r="K27" s="3">
        <v>8.1</v>
      </c>
      <c r="L27" s="3" t="s">
        <v>96</v>
      </c>
    </row>
    <row r="28" spans="1:12" x14ac:dyDescent="0.35">
      <c r="A28" s="2" t="s">
        <v>111</v>
      </c>
      <c r="B28" s="2" t="s">
        <v>112</v>
      </c>
      <c r="C28" s="2" t="s">
        <v>113</v>
      </c>
      <c r="D28" s="2" t="s">
        <v>58</v>
      </c>
      <c r="E28" s="2" t="s">
        <v>59</v>
      </c>
      <c r="F28" s="2">
        <v>-0.28000000000000003</v>
      </c>
      <c r="G28" s="2">
        <v>0</v>
      </c>
      <c r="H28" s="2">
        <v>120</v>
      </c>
      <c r="I28" s="2">
        <v>65</v>
      </c>
      <c r="J28" s="2">
        <v>0.26</v>
      </c>
      <c r="K28" s="2">
        <v>7.6</v>
      </c>
      <c r="L28" s="2" t="s">
        <v>114</v>
      </c>
    </row>
    <row r="29" spans="1:12" x14ac:dyDescent="0.35">
      <c r="A29" s="3" t="s">
        <v>115</v>
      </c>
      <c r="B29" s="3" t="s">
        <v>116</v>
      </c>
      <c r="C29" s="3" t="s">
        <v>117</v>
      </c>
      <c r="D29" s="3" t="s">
        <v>18</v>
      </c>
      <c r="E29" s="3" t="s">
        <v>67</v>
      </c>
      <c r="F29" s="3">
        <v>-0.72</v>
      </c>
      <c r="G29" s="3">
        <v>2.39</v>
      </c>
      <c r="H29" s="3">
        <v>225</v>
      </c>
      <c r="I29" s="3">
        <v>192</v>
      </c>
      <c r="J29" s="3">
        <v>0.17</v>
      </c>
      <c r="K29" s="3">
        <v>3.21</v>
      </c>
      <c r="L29" s="3" t="s">
        <v>118</v>
      </c>
    </row>
    <row r="30" spans="1:12" x14ac:dyDescent="0.35">
      <c r="A30" s="2" t="s">
        <v>119</v>
      </c>
      <c r="B30" s="2" t="s">
        <v>120</v>
      </c>
      <c r="C30" s="2" t="s">
        <v>121</v>
      </c>
      <c r="D30" s="2" t="s">
        <v>31</v>
      </c>
      <c r="E30" s="2" t="s">
        <v>32</v>
      </c>
      <c r="F30" s="2">
        <v>-2.59</v>
      </c>
      <c r="G30" s="2">
        <v>4.5</v>
      </c>
      <c r="H30" s="2">
        <v>36</v>
      </c>
      <c r="I30" s="2">
        <v>7</v>
      </c>
      <c r="J30" s="2">
        <v>0.41</v>
      </c>
      <c r="K30" s="2">
        <v>2.2799999999999998</v>
      </c>
      <c r="L30" s="2" t="s">
        <v>122</v>
      </c>
    </row>
    <row r="31" spans="1:12" x14ac:dyDescent="0.35">
      <c r="A31" s="3" t="s">
        <v>123</v>
      </c>
      <c r="B31" s="3" t="s">
        <v>124</v>
      </c>
      <c r="C31" s="3" t="s">
        <v>125</v>
      </c>
      <c r="D31" s="3" t="s">
        <v>18</v>
      </c>
      <c r="E31" s="3" t="s">
        <v>24</v>
      </c>
      <c r="F31" s="3">
        <v>-0.12</v>
      </c>
      <c r="G31" s="3">
        <v>0</v>
      </c>
      <c r="H31" s="3">
        <v>160</v>
      </c>
      <c r="I31" s="3">
        <v>75</v>
      </c>
      <c r="J31" s="3">
        <v>0.3</v>
      </c>
      <c r="K31" s="3">
        <v>7.95</v>
      </c>
      <c r="L31" s="3" t="s">
        <v>126</v>
      </c>
    </row>
    <row r="32" spans="1:12" x14ac:dyDescent="0.35">
      <c r="A32" s="2" t="s">
        <v>127</v>
      </c>
      <c r="B32" s="2" t="s">
        <v>128</v>
      </c>
      <c r="C32" s="2" t="s">
        <v>129</v>
      </c>
      <c r="D32" s="2" t="s">
        <v>18</v>
      </c>
      <c r="E32" s="2" t="s">
        <v>19</v>
      </c>
      <c r="F32" s="2">
        <v>0</v>
      </c>
      <c r="G32" s="2">
        <v>0</v>
      </c>
      <c r="H32" s="2">
        <v>160</v>
      </c>
      <c r="I32" s="2">
        <v>115</v>
      </c>
      <c r="J32" s="2">
        <v>0.21</v>
      </c>
      <c r="K32" s="2">
        <v>7.19</v>
      </c>
      <c r="L32" s="2" t="s">
        <v>44</v>
      </c>
    </row>
    <row r="33" spans="1:12" x14ac:dyDescent="0.35">
      <c r="A33" s="3" t="s">
        <v>130</v>
      </c>
      <c r="B33" s="3" t="s">
        <v>131</v>
      </c>
      <c r="C33" s="3" t="s">
        <v>132</v>
      </c>
      <c r="D33" s="3" t="s">
        <v>18</v>
      </c>
      <c r="E33" s="3" t="s">
        <v>24</v>
      </c>
      <c r="F33" s="3">
        <v>-0.95</v>
      </c>
      <c r="G33" s="3">
        <v>0</v>
      </c>
      <c r="H33" s="3">
        <v>305</v>
      </c>
      <c r="I33" s="3">
        <v>190</v>
      </c>
      <c r="J33" s="3">
        <v>0.24</v>
      </c>
      <c r="K33" s="3">
        <v>5.77</v>
      </c>
      <c r="L33" s="3" t="s">
        <v>133</v>
      </c>
    </row>
    <row r="34" spans="1:12" x14ac:dyDescent="0.35">
      <c r="A34" s="2" t="s">
        <v>134</v>
      </c>
      <c r="B34" s="2" t="s">
        <v>135</v>
      </c>
      <c r="C34" s="2" t="s">
        <v>136</v>
      </c>
      <c r="D34" s="2" t="s">
        <v>18</v>
      </c>
      <c r="E34" s="2" t="s">
        <v>24</v>
      </c>
      <c r="F34" s="2">
        <v>-1.64</v>
      </c>
      <c r="G34" s="2">
        <v>0</v>
      </c>
      <c r="H34" s="2">
        <v>282</v>
      </c>
      <c r="I34" s="2">
        <v>188</v>
      </c>
      <c r="J34" s="2">
        <v>0.22</v>
      </c>
      <c r="K34" s="2">
        <v>5.39</v>
      </c>
      <c r="L34" s="2" t="s">
        <v>133</v>
      </c>
    </row>
    <row r="35" spans="1:12" x14ac:dyDescent="0.35">
      <c r="A35" s="3" t="s">
        <v>137</v>
      </c>
      <c r="B35" s="3" t="s">
        <v>138</v>
      </c>
      <c r="C35" s="3" t="s">
        <v>139</v>
      </c>
      <c r="D35" s="3" t="s">
        <v>31</v>
      </c>
      <c r="E35" s="3" t="s">
        <v>32</v>
      </c>
      <c r="F35" s="3">
        <v>-0.38</v>
      </c>
      <c r="G35" s="3">
        <v>0</v>
      </c>
      <c r="H35" s="3">
        <v>112</v>
      </c>
      <c r="I35" s="3">
        <v>44</v>
      </c>
      <c r="J35" s="3">
        <v>0.33</v>
      </c>
      <c r="K35" s="3">
        <v>4.43</v>
      </c>
      <c r="L35" s="3" t="s">
        <v>140</v>
      </c>
    </row>
    <row r="36" spans="1:12" x14ac:dyDescent="0.35">
      <c r="A36" s="2" t="s">
        <v>141</v>
      </c>
      <c r="B36" s="2" t="s">
        <v>142</v>
      </c>
      <c r="C36" s="2" t="s">
        <v>143</v>
      </c>
      <c r="D36" s="2" t="s">
        <v>31</v>
      </c>
      <c r="E36" s="2" t="s">
        <v>32</v>
      </c>
      <c r="F36" s="2">
        <v>0</v>
      </c>
      <c r="G36" s="2">
        <v>0</v>
      </c>
      <c r="H36" s="2">
        <v>182</v>
      </c>
      <c r="I36" s="2">
        <v>82</v>
      </c>
      <c r="J36" s="2">
        <v>0.31</v>
      </c>
      <c r="K36" s="2">
        <v>8.9</v>
      </c>
      <c r="L36" s="2" t="s">
        <v>144</v>
      </c>
    </row>
    <row r="37" spans="1:12" x14ac:dyDescent="0.35">
      <c r="A37" s="3" t="s">
        <v>145</v>
      </c>
      <c r="B37" s="3" t="s">
        <v>146</v>
      </c>
      <c r="C37" s="3" t="s">
        <v>147</v>
      </c>
      <c r="D37" s="3" t="s">
        <v>18</v>
      </c>
      <c r="E37" s="3" t="s">
        <v>24</v>
      </c>
      <c r="F37" s="3">
        <v>0</v>
      </c>
      <c r="G37" s="3">
        <v>0</v>
      </c>
      <c r="H37" s="3">
        <v>173</v>
      </c>
      <c r="I37" s="3">
        <v>27</v>
      </c>
      <c r="J37" s="3">
        <v>0.42</v>
      </c>
      <c r="K37" s="3">
        <v>19.32</v>
      </c>
      <c r="L37" s="3" t="s">
        <v>148</v>
      </c>
    </row>
    <row r="38" spans="1:12" x14ac:dyDescent="0.35">
      <c r="A38" s="2" t="s">
        <v>130</v>
      </c>
      <c r="B38" s="2" t="s">
        <v>149</v>
      </c>
      <c r="C38" s="2" t="s">
        <v>150</v>
      </c>
      <c r="D38" s="2" t="s">
        <v>18</v>
      </c>
      <c r="E38" s="2" t="s">
        <v>24</v>
      </c>
      <c r="F38" s="2">
        <v>0</v>
      </c>
      <c r="G38" s="2">
        <v>0</v>
      </c>
      <c r="H38" s="2">
        <v>104</v>
      </c>
      <c r="I38" s="2">
        <v>30</v>
      </c>
      <c r="J38" s="2">
        <v>0.37</v>
      </c>
      <c r="K38" s="2">
        <v>10.49</v>
      </c>
      <c r="L38" s="2" t="s">
        <v>148</v>
      </c>
    </row>
    <row r="39" spans="1:12" x14ac:dyDescent="0.35">
      <c r="A39" s="3" t="s">
        <v>151</v>
      </c>
      <c r="B39" s="3" t="s">
        <v>152</v>
      </c>
      <c r="C39" s="3" t="s">
        <v>153</v>
      </c>
      <c r="D39" s="3" t="s">
        <v>18</v>
      </c>
      <c r="E39" s="3" t="s">
        <v>24</v>
      </c>
      <c r="F39" s="3">
        <v>0</v>
      </c>
      <c r="G39" s="3">
        <v>0</v>
      </c>
      <c r="H39" s="3">
        <v>283</v>
      </c>
      <c r="I39" s="3">
        <v>61</v>
      </c>
      <c r="J39" s="3">
        <v>0.39</v>
      </c>
      <c r="K39" s="3">
        <v>21.45</v>
      </c>
      <c r="L39" s="3" t="s">
        <v>154</v>
      </c>
    </row>
    <row r="40" spans="1:12" x14ac:dyDescent="0.35">
      <c r="A40" s="2" t="s">
        <v>155</v>
      </c>
      <c r="B40" s="2" t="s">
        <v>156</v>
      </c>
      <c r="C40" s="2" t="s">
        <v>157</v>
      </c>
      <c r="D40" s="2" t="s">
        <v>18</v>
      </c>
      <c r="E40" s="2" t="s">
        <v>19</v>
      </c>
      <c r="F40" s="2">
        <v>0</v>
      </c>
      <c r="G40" s="2">
        <v>0</v>
      </c>
      <c r="H40" s="2">
        <v>230</v>
      </c>
      <c r="I40" s="2">
        <v>126</v>
      </c>
      <c r="J40" s="2">
        <v>0.28000000000000003</v>
      </c>
      <c r="K40" s="2">
        <v>10.28</v>
      </c>
      <c r="L40" s="2" t="s">
        <v>44</v>
      </c>
    </row>
    <row r="41" spans="1:12" x14ac:dyDescent="0.35">
      <c r="A41" s="3" t="s">
        <v>158</v>
      </c>
      <c r="B41" s="3" t="s">
        <v>159</v>
      </c>
      <c r="C41" s="3" t="s">
        <v>160</v>
      </c>
      <c r="D41" s="3" t="s">
        <v>31</v>
      </c>
      <c r="E41" s="3" t="s">
        <v>161</v>
      </c>
      <c r="F41" s="3">
        <v>-0.49</v>
      </c>
      <c r="G41" s="3">
        <v>0</v>
      </c>
      <c r="H41" s="3">
        <v>400</v>
      </c>
      <c r="I41" s="3">
        <v>280</v>
      </c>
      <c r="J41" s="3">
        <v>0.22</v>
      </c>
      <c r="K41" s="3">
        <v>15.63</v>
      </c>
      <c r="L41" s="3" t="s">
        <v>162</v>
      </c>
    </row>
    <row r="42" spans="1:12" x14ac:dyDescent="0.35">
      <c r="A42" s="2" t="s">
        <v>163</v>
      </c>
      <c r="B42" s="2" t="s">
        <v>164</v>
      </c>
      <c r="C42" s="2" t="s">
        <v>165</v>
      </c>
      <c r="D42" s="2" t="s">
        <v>18</v>
      </c>
      <c r="E42" s="2" t="s">
        <v>36</v>
      </c>
      <c r="F42" s="2">
        <v>-0.32</v>
      </c>
      <c r="G42" s="2">
        <v>0.67</v>
      </c>
      <c r="H42" s="2">
        <v>75</v>
      </c>
      <c r="I42" s="2">
        <v>55</v>
      </c>
      <c r="J42" s="2">
        <v>0.21</v>
      </c>
      <c r="K42" s="2">
        <v>5.32</v>
      </c>
      <c r="L42" s="2" t="s">
        <v>37</v>
      </c>
    </row>
    <row r="43" spans="1:12" x14ac:dyDescent="0.35">
      <c r="A43" s="3" t="s">
        <v>166</v>
      </c>
      <c r="B43" s="3" t="s">
        <v>167</v>
      </c>
      <c r="C43" s="3" t="s">
        <v>168</v>
      </c>
      <c r="D43" s="3" t="s">
        <v>18</v>
      </c>
      <c r="E43" s="3" t="s">
        <v>67</v>
      </c>
      <c r="F43" s="3">
        <v>-0.52</v>
      </c>
      <c r="G43" s="3">
        <v>1.5</v>
      </c>
      <c r="H43" s="3">
        <v>45</v>
      </c>
      <c r="I43" s="3">
        <v>17</v>
      </c>
      <c r="J43" s="3">
        <v>0.35</v>
      </c>
      <c r="K43" s="3">
        <v>5.85</v>
      </c>
      <c r="L43" s="3" t="s">
        <v>169</v>
      </c>
    </row>
    <row r="44" spans="1:12" x14ac:dyDescent="0.35">
      <c r="A44" s="2" t="s">
        <v>170</v>
      </c>
      <c r="B44" s="2" t="s">
        <v>171</v>
      </c>
      <c r="C44" s="2" t="s">
        <v>172</v>
      </c>
      <c r="D44" s="2" t="s">
        <v>18</v>
      </c>
      <c r="E44" s="2" t="s">
        <v>67</v>
      </c>
      <c r="F44" s="2">
        <v>-0.56000000000000005</v>
      </c>
      <c r="G44" s="2">
        <v>1.34</v>
      </c>
      <c r="H44" s="2">
        <v>71</v>
      </c>
      <c r="I44" s="2">
        <v>30</v>
      </c>
      <c r="J44" s="2">
        <v>0.36</v>
      </c>
      <c r="K44" s="2">
        <v>4.8099999999999996</v>
      </c>
      <c r="L44" s="2" t="s">
        <v>37</v>
      </c>
    </row>
    <row r="45" spans="1:12" x14ac:dyDescent="0.35">
      <c r="A45" s="3" t="s">
        <v>173</v>
      </c>
      <c r="B45" s="3" t="s">
        <v>174</v>
      </c>
      <c r="C45" s="3" t="s">
        <v>175</v>
      </c>
      <c r="D45" s="3" t="s">
        <v>18</v>
      </c>
      <c r="E45" s="3" t="s">
        <v>176</v>
      </c>
      <c r="F45" s="3">
        <v>0</v>
      </c>
      <c r="G45" s="3">
        <v>0</v>
      </c>
      <c r="H45" s="3">
        <v>120</v>
      </c>
      <c r="I45" s="3">
        <v>60</v>
      </c>
      <c r="J45" s="3">
        <v>0.28000000000000003</v>
      </c>
      <c r="K45" s="3">
        <v>7.47</v>
      </c>
      <c r="L45" s="3" t="s">
        <v>177</v>
      </c>
    </row>
    <row r="46" spans="1:12" x14ac:dyDescent="0.35">
      <c r="A46" s="2" t="s">
        <v>178</v>
      </c>
      <c r="B46" s="2" t="s">
        <v>179</v>
      </c>
      <c r="C46" s="2" t="s">
        <v>180</v>
      </c>
      <c r="D46" s="2" t="s">
        <v>18</v>
      </c>
      <c r="E46" s="2" t="s">
        <v>181</v>
      </c>
      <c r="F46" s="2">
        <v>-0.44</v>
      </c>
      <c r="G46" s="2">
        <v>0</v>
      </c>
      <c r="H46" s="2">
        <v>172</v>
      </c>
      <c r="I46" s="2">
        <v>79</v>
      </c>
      <c r="J46" s="2">
        <v>0.3</v>
      </c>
      <c r="K46" s="2">
        <v>7.5</v>
      </c>
      <c r="L46" s="2" t="s">
        <v>182</v>
      </c>
    </row>
    <row r="47" spans="1:12" x14ac:dyDescent="0.35">
      <c r="A47" s="3" t="s">
        <v>183</v>
      </c>
      <c r="B47" s="3" t="s">
        <v>184</v>
      </c>
      <c r="C47" s="3" t="s">
        <v>185</v>
      </c>
      <c r="D47" s="3" t="s">
        <v>18</v>
      </c>
      <c r="E47" s="3" t="s">
        <v>36</v>
      </c>
      <c r="F47" s="3">
        <v>-4.28</v>
      </c>
      <c r="G47" s="3">
        <v>7.9</v>
      </c>
      <c r="H47" s="3">
        <v>198</v>
      </c>
      <c r="I47" s="3">
        <v>108</v>
      </c>
      <c r="J47" s="3">
        <v>0.27</v>
      </c>
      <c r="K47" s="3">
        <v>3.58</v>
      </c>
      <c r="L47" s="3" t="s">
        <v>186</v>
      </c>
    </row>
    <row r="48" spans="1:12" x14ac:dyDescent="0.35">
      <c r="A48" s="2" t="s">
        <v>187</v>
      </c>
      <c r="B48" s="2" t="s">
        <v>188</v>
      </c>
      <c r="C48" s="2" t="s">
        <v>189</v>
      </c>
      <c r="D48" s="2" t="s">
        <v>18</v>
      </c>
      <c r="E48" s="2" t="s">
        <v>24</v>
      </c>
      <c r="F48" s="2">
        <v>-3.72</v>
      </c>
      <c r="G48" s="2">
        <v>5</v>
      </c>
      <c r="H48" s="2">
        <v>210</v>
      </c>
      <c r="I48" s="2">
        <v>95</v>
      </c>
      <c r="J48" s="2">
        <v>0.3</v>
      </c>
      <c r="K48" s="2">
        <v>6.05</v>
      </c>
      <c r="L48" s="2" t="s">
        <v>190</v>
      </c>
    </row>
    <row r="49" spans="1:12" x14ac:dyDescent="0.35">
      <c r="A49" s="3" t="s">
        <v>191</v>
      </c>
      <c r="B49" s="3" t="s">
        <v>192</v>
      </c>
      <c r="C49" s="3" t="s">
        <v>193</v>
      </c>
      <c r="D49" s="3" t="s">
        <v>18</v>
      </c>
      <c r="E49" s="3" t="s">
        <v>19</v>
      </c>
      <c r="F49" s="3">
        <v>0</v>
      </c>
      <c r="G49" s="3">
        <v>0</v>
      </c>
      <c r="H49" s="3">
        <v>11</v>
      </c>
      <c r="I49" s="3">
        <v>4.2</v>
      </c>
      <c r="J49" s="3">
        <v>0.36</v>
      </c>
      <c r="K49" s="3">
        <v>0.53</v>
      </c>
      <c r="L49" s="3" t="s">
        <v>194</v>
      </c>
    </row>
    <row r="50" spans="1:12" x14ac:dyDescent="0.35">
      <c r="A50" s="2" t="s">
        <v>195</v>
      </c>
      <c r="B50" s="2" t="s">
        <v>196</v>
      </c>
      <c r="C50" s="2" t="s">
        <v>197</v>
      </c>
      <c r="D50" s="2" t="s">
        <v>58</v>
      </c>
      <c r="E50" s="2" t="s">
        <v>198</v>
      </c>
      <c r="F50" s="2">
        <v>-0.05</v>
      </c>
      <c r="G50" s="2">
        <v>0</v>
      </c>
      <c r="H50" s="2">
        <v>175</v>
      </c>
      <c r="I50" s="2">
        <v>85</v>
      </c>
      <c r="J50" s="2">
        <v>0.28999999999999998</v>
      </c>
      <c r="K50" s="2">
        <v>7.72</v>
      </c>
      <c r="L50" s="2" t="s">
        <v>199</v>
      </c>
    </row>
    <row r="51" spans="1:12" x14ac:dyDescent="0.35">
      <c r="A51" s="3" t="s">
        <v>200</v>
      </c>
      <c r="B51" s="3" t="s">
        <v>201</v>
      </c>
      <c r="C51" s="3" t="s">
        <v>202</v>
      </c>
      <c r="D51" s="3" t="s">
        <v>31</v>
      </c>
      <c r="E51" s="3" t="s">
        <v>203</v>
      </c>
      <c r="F51" s="3">
        <v>-0.18</v>
      </c>
      <c r="G51" s="3">
        <v>0</v>
      </c>
      <c r="H51" s="3">
        <v>140</v>
      </c>
      <c r="I51" s="3">
        <v>75</v>
      </c>
      <c r="J51" s="3">
        <v>0.26</v>
      </c>
      <c r="K51" s="3">
        <v>8.3000000000000007</v>
      </c>
      <c r="L51" s="3" t="s">
        <v>114</v>
      </c>
    </row>
    <row r="52" spans="1:12" x14ac:dyDescent="0.35">
      <c r="A52" s="2" t="s">
        <v>204</v>
      </c>
      <c r="B52" s="2" t="s">
        <v>205</v>
      </c>
      <c r="C52" s="2" t="s">
        <v>206</v>
      </c>
      <c r="D52" s="2" t="s">
        <v>18</v>
      </c>
      <c r="E52" s="2" t="s">
        <v>24</v>
      </c>
      <c r="F52" s="2">
        <v>-0.09</v>
      </c>
      <c r="G52" s="2">
        <v>0</v>
      </c>
      <c r="H52" s="2">
        <v>168</v>
      </c>
      <c r="I52" s="2">
        <v>78</v>
      </c>
      <c r="J52" s="2">
        <v>0.3</v>
      </c>
      <c r="K52" s="2">
        <v>8.19</v>
      </c>
      <c r="L52" s="2" t="s">
        <v>207</v>
      </c>
    </row>
    <row r="53" spans="1:12" x14ac:dyDescent="0.35">
      <c r="A53" s="3" t="s">
        <v>55</v>
      </c>
      <c r="B53" s="3" t="s">
        <v>208</v>
      </c>
      <c r="C53" s="3" t="s">
        <v>57</v>
      </c>
      <c r="D53" s="3" t="s">
        <v>58</v>
      </c>
      <c r="E53" s="3" t="s">
        <v>209</v>
      </c>
      <c r="F53" s="3">
        <v>-3.42</v>
      </c>
      <c r="G53" s="3">
        <v>3.2</v>
      </c>
      <c r="H53" s="3">
        <v>180</v>
      </c>
      <c r="I53" s="3">
        <v>90</v>
      </c>
      <c r="J53" s="3">
        <v>0.28000000000000003</v>
      </c>
      <c r="K53" s="3">
        <v>3.89</v>
      </c>
      <c r="L53" s="3" t="s">
        <v>210</v>
      </c>
    </row>
    <row r="54" spans="1:12" x14ac:dyDescent="0.35">
      <c r="A54" s="2" t="s">
        <v>211</v>
      </c>
      <c r="B54" s="2" t="s">
        <v>212</v>
      </c>
      <c r="C54" s="2" t="s">
        <v>213</v>
      </c>
      <c r="D54" s="2" t="s">
        <v>58</v>
      </c>
      <c r="E54" s="2" t="s">
        <v>209</v>
      </c>
      <c r="F54" s="2">
        <v>0</v>
      </c>
      <c r="G54" s="2">
        <v>0</v>
      </c>
      <c r="H54" s="2">
        <v>58</v>
      </c>
      <c r="I54" s="2">
        <v>18</v>
      </c>
      <c r="J54" s="2">
        <v>0.36</v>
      </c>
      <c r="K54" s="2">
        <v>7.31</v>
      </c>
      <c r="L54" s="2" t="s">
        <v>214</v>
      </c>
    </row>
    <row r="55" spans="1:12" x14ac:dyDescent="0.35">
      <c r="A55" s="3" t="s">
        <v>215</v>
      </c>
      <c r="B55" s="3" t="s">
        <v>216</v>
      </c>
      <c r="C55" s="3" t="s">
        <v>217</v>
      </c>
      <c r="D55" s="3" t="s">
        <v>18</v>
      </c>
      <c r="E55" s="3" t="s">
        <v>36</v>
      </c>
      <c r="F55" s="3">
        <v>1.7000000000000001E-2</v>
      </c>
      <c r="G55" s="3">
        <v>5.5</v>
      </c>
      <c r="H55" s="3">
        <v>443</v>
      </c>
      <c r="I55" s="3">
        <v>535</v>
      </c>
      <c r="J55" s="3">
        <v>7.0000000000000007E-2</v>
      </c>
      <c r="K55" s="3">
        <v>3.52</v>
      </c>
      <c r="L55" s="3" t="s">
        <v>218</v>
      </c>
    </row>
    <row r="57" spans="1:12" x14ac:dyDescent="0.35">
      <c r="A57" s="4" t="s">
        <v>219</v>
      </c>
    </row>
    <row r="58" spans="1:12" x14ac:dyDescent="0.35">
      <c r="A58" s="5" t="s">
        <v>220</v>
      </c>
      <c r="B58" t="s">
        <v>221</v>
      </c>
    </row>
    <row r="59" spans="1:12" x14ac:dyDescent="0.35">
      <c r="A59" t="str">
        <f t="shared" ref="A59:A90" si="0">C6</f>
        <v>Fe</v>
      </c>
      <c r="B59">
        <f t="shared" ref="B59:B90" si="1">2*I6*(1+J6)</f>
        <v>211.56</v>
      </c>
      <c r="C59" t="s">
        <v>222</v>
      </c>
      <c r="D59">
        <f t="shared" ref="D59:D90" si="2">3*H6*(1-2*J6)</f>
        <v>214.20000000000002</v>
      </c>
      <c r="E59" t="s">
        <v>223</v>
      </c>
      <c r="F59">
        <f t="shared" ref="F59:F90" si="3">IF(B59=0,"-",ABS(B59-D59)/B59*100)</f>
        <v>1.2478729438457246</v>
      </c>
    </row>
    <row r="60" spans="1:12" x14ac:dyDescent="0.35">
      <c r="A60" t="str">
        <f t="shared" si="0"/>
        <v>Al</v>
      </c>
      <c r="B60">
        <f t="shared" si="1"/>
        <v>70.2</v>
      </c>
      <c r="C60" t="s">
        <v>222</v>
      </c>
      <c r="D60">
        <f t="shared" si="2"/>
        <v>68.400000000000006</v>
      </c>
      <c r="E60" t="s">
        <v>223</v>
      </c>
      <c r="F60">
        <f t="shared" si="3"/>
        <v>2.5641025641025599</v>
      </c>
    </row>
    <row r="61" spans="1:12" x14ac:dyDescent="0.35">
      <c r="A61" t="str">
        <f t="shared" si="0"/>
        <v>Cu</v>
      </c>
      <c r="B61">
        <f t="shared" si="1"/>
        <v>128.64000000000001</v>
      </c>
      <c r="C61" t="s">
        <v>222</v>
      </c>
      <c r="D61">
        <f t="shared" si="2"/>
        <v>134.39999999999998</v>
      </c>
      <c r="E61" t="s">
        <v>223</v>
      </c>
      <c r="F61">
        <f t="shared" si="3"/>
        <v>4.4776119402984778</v>
      </c>
    </row>
    <row r="62" spans="1:12" x14ac:dyDescent="0.35">
      <c r="A62" t="str">
        <f t="shared" si="0"/>
        <v>Ti</v>
      </c>
      <c r="B62">
        <f t="shared" si="1"/>
        <v>116.16000000000001</v>
      </c>
      <c r="C62" t="s">
        <v>222</v>
      </c>
      <c r="D62">
        <f t="shared" si="2"/>
        <v>118.8</v>
      </c>
      <c r="E62" t="s">
        <v>223</v>
      </c>
      <c r="F62">
        <f t="shared" si="3"/>
        <v>2.2727272727272605</v>
      </c>
    </row>
    <row r="63" spans="1:12" x14ac:dyDescent="0.35">
      <c r="A63" t="str">
        <f t="shared" si="0"/>
        <v>Si</v>
      </c>
      <c r="B63">
        <f t="shared" si="1"/>
        <v>161.04</v>
      </c>
      <c r="C63" t="s">
        <v>222</v>
      </c>
      <c r="D63">
        <f t="shared" si="2"/>
        <v>164.64000000000001</v>
      </c>
      <c r="E63" t="s">
        <v>223</v>
      </c>
      <c r="F63">
        <f t="shared" si="3"/>
        <v>2.235469448584217</v>
      </c>
    </row>
    <row r="64" spans="1:12" x14ac:dyDescent="0.35">
      <c r="A64" t="str">
        <f t="shared" si="0"/>
        <v>Ni</v>
      </c>
      <c r="B64">
        <f t="shared" si="1"/>
        <v>199.12</v>
      </c>
      <c r="C64" t="s">
        <v>222</v>
      </c>
      <c r="D64">
        <f t="shared" si="2"/>
        <v>205.2</v>
      </c>
      <c r="E64" t="s">
        <v>223</v>
      </c>
      <c r="F64">
        <f t="shared" si="3"/>
        <v>3.0534351145038086</v>
      </c>
    </row>
    <row r="65" spans="1:6" x14ac:dyDescent="0.35">
      <c r="A65" t="str">
        <f t="shared" si="0"/>
        <v>W</v>
      </c>
      <c r="B65">
        <f t="shared" si="1"/>
        <v>412.16</v>
      </c>
      <c r="C65" t="s">
        <v>222</v>
      </c>
      <c r="D65">
        <f t="shared" si="2"/>
        <v>409.19999999999993</v>
      </c>
      <c r="E65" t="s">
        <v>223</v>
      </c>
      <c r="F65">
        <f t="shared" si="3"/>
        <v>0.71816770186337664</v>
      </c>
    </row>
    <row r="66" spans="1:6" x14ac:dyDescent="0.35">
      <c r="A66" t="str">
        <f t="shared" si="0"/>
        <v>Fe2O3</v>
      </c>
      <c r="B66">
        <f t="shared" si="1"/>
        <v>228.6</v>
      </c>
      <c r="C66" t="s">
        <v>222</v>
      </c>
      <c r="D66">
        <f t="shared" si="2"/>
        <v>245.64</v>
      </c>
      <c r="E66" t="s">
        <v>223</v>
      </c>
      <c r="F66">
        <f t="shared" si="3"/>
        <v>7.4540682414698134</v>
      </c>
    </row>
    <row r="67" spans="1:6" x14ac:dyDescent="0.35">
      <c r="A67" t="str">
        <f t="shared" si="0"/>
        <v>Al2O3</v>
      </c>
      <c r="B67">
        <f t="shared" si="1"/>
        <v>404.24</v>
      </c>
      <c r="C67" t="s">
        <v>222</v>
      </c>
      <c r="D67">
        <f t="shared" si="2"/>
        <v>396.24</v>
      </c>
      <c r="E67" t="s">
        <v>223</v>
      </c>
      <c r="F67">
        <f t="shared" si="3"/>
        <v>1.9790223629527013</v>
      </c>
    </row>
    <row r="68" spans="1:6" x14ac:dyDescent="0.35">
      <c r="A68" t="str">
        <f t="shared" si="0"/>
        <v>TiO2</v>
      </c>
      <c r="B68">
        <f t="shared" si="1"/>
        <v>281.60000000000002</v>
      </c>
      <c r="C68" t="s">
        <v>222</v>
      </c>
      <c r="D68">
        <f t="shared" si="2"/>
        <v>290.39999999999998</v>
      </c>
      <c r="E68" t="s">
        <v>223</v>
      </c>
      <c r="F68">
        <f t="shared" si="3"/>
        <v>3.1249999999999836</v>
      </c>
    </row>
    <row r="69" spans="1:6" x14ac:dyDescent="0.35">
      <c r="A69" t="str">
        <f t="shared" si="0"/>
        <v>NaCl</v>
      </c>
      <c r="B69">
        <f t="shared" si="1"/>
        <v>32.5</v>
      </c>
      <c r="C69" t="s">
        <v>222</v>
      </c>
      <c r="D69">
        <f t="shared" si="2"/>
        <v>37.5</v>
      </c>
      <c r="E69" t="s">
        <v>223</v>
      </c>
      <c r="F69">
        <f t="shared" si="3"/>
        <v>15.384615384615385</v>
      </c>
    </row>
    <row r="70" spans="1:6" x14ac:dyDescent="0.35">
      <c r="A70" t="str">
        <f t="shared" si="0"/>
        <v>GaAs</v>
      </c>
      <c r="B70">
        <f t="shared" si="1"/>
        <v>86.460000000000008</v>
      </c>
      <c r="C70" t="s">
        <v>222</v>
      </c>
      <c r="D70">
        <f t="shared" si="2"/>
        <v>85.5</v>
      </c>
      <c r="E70" t="s">
        <v>223</v>
      </c>
      <c r="F70">
        <f t="shared" si="3"/>
        <v>1.1103400416377607</v>
      </c>
    </row>
    <row r="71" spans="1:6" x14ac:dyDescent="0.35">
      <c r="A71" t="str">
        <f t="shared" si="0"/>
        <v>ZnO</v>
      </c>
      <c r="B71">
        <f t="shared" si="1"/>
        <v>119.67999999999999</v>
      </c>
      <c r="C71" t="s">
        <v>222</v>
      </c>
      <c r="D71">
        <f t="shared" si="2"/>
        <v>120.12</v>
      </c>
      <c r="E71" t="s">
        <v>223</v>
      </c>
      <c r="F71">
        <f t="shared" si="3"/>
        <v>0.36764705882353943</v>
      </c>
    </row>
    <row r="72" spans="1:6" x14ac:dyDescent="0.35">
      <c r="A72" t="str">
        <f t="shared" si="0"/>
        <v>CaF2</v>
      </c>
      <c r="B72">
        <f t="shared" si="1"/>
        <v>106.68</v>
      </c>
      <c r="C72" t="s">
        <v>222</v>
      </c>
      <c r="D72">
        <f t="shared" si="2"/>
        <v>114.53999999999999</v>
      </c>
      <c r="E72" t="s">
        <v>223</v>
      </c>
      <c r="F72">
        <f t="shared" si="3"/>
        <v>7.3678290213723141</v>
      </c>
    </row>
    <row r="73" spans="1:6" x14ac:dyDescent="0.35">
      <c r="A73" t="str">
        <f t="shared" si="0"/>
        <v>MgO</v>
      </c>
      <c r="B73">
        <f t="shared" si="1"/>
        <v>309.15999999999997</v>
      </c>
      <c r="C73" t="s">
        <v>222</v>
      </c>
      <c r="D73">
        <f t="shared" si="2"/>
        <v>307.2</v>
      </c>
      <c r="E73" t="s">
        <v>223</v>
      </c>
      <c r="F73">
        <f t="shared" si="3"/>
        <v>0.63397593479104009</v>
      </c>
    </row>
    <row r="74" spans="1:6" x14ac:dyDescent="0.35">
      <c r="A74" t="str">
        <f t="shared" si="0"/>
        <v>Zn</v>
      </c>
      <c r="B74">
        <f t="shared" si="1"/>
        <v>107.5</v>
      </c>
      <c r="C74" t="s">
        <v>222</v>
      </c>
      <c r="D74">
        <f t="shared" si="2"/>
        <v>105</v>
      </c>
      <c r="E74" t="s">
        <v>223</v>
      </c>
      <c r="F74">
        <f t="shared" si="3"/>
        <v>2.3255813953488373</v>
      </c>
    </row>
    <row r="75" spans="1:6" x14ac:dyDescent="0.35">
      <c r="A75" t="str">
        <f t="shared" si="0"/>
        <v>Mg</v>
      </c>
      <c r="B75">
        <f t="shared" si="1"/>
        <v>43.86</v>
      </c>
      <c r="C75" t="s">
        <v>222</v>
      </c>
      <c r="D75">
        <f t="shared" si="2"/>
        <v>44.1</v>
      </c>
      <c r="E75" t="s">
        <v>223</v>
      </c>
      <c r="F75">
        <f t="shared" si="3"/>
        <v>0.54719562243502506</v>
      </c>
    </row>
    <row r="76" spans="1:6" x14ac:dyDescent="0.35">
      <c r="A76" t="str">
        <f t="shared" si="0"/>
        <v>ZrO2</v>
      </c>
      <c r="B76">
        <f t="shared" si="1"/>
        <v>228.8</v>
      </c>
      <c r="C76" t="s">
        <v>222</v>
      </c>
      <c r="D76">
        <f t="shared" si="2"/>
        <v>228</v>
      </c>
      <c r="E76" t="s">
        <v>223</v>
      </c>
      <c r="F76">
        <f t="shared" si="3"/>
        <v>0.34965034965035457</v>
      </c>
    </row>
    <row r="77" spans="1:6" x14ac:dyDescent="0.35">
      <c r="A77" t="str">
        <f t="shared" si="0"/>
        <v>BaTiO3</v>
      </c>
      <c r="B77">
        <f t="shared" si="1"/>
        <v>144.1</v>
      </c>
      <c r="C77" t="s">
        <v>222</v>
      </c>
      <c r="D77">
        <f t="shared" si="2"/>
        <v>145.92000000000002</v>
      </c>
      <c r="E77" t="s">
        <v>223</v>
      </c>
      <c r="F77">
        <f t="shared" si="3"/>
        <v>1.2630117973629573</v>
      </c>
    </row>
    <row r="78" spans="1:6" x14ac:dyDescent="0.35">
      <c r="A78" t="str">
        <f t="shared" si="0"/>
        <v>LiCoO2</v>
      </c>
      <c r="B78">
        <f t="shared" si="1"/>
        <v>176.8</v>
      </c>
      <c r="C78" t="s">
        <v>222</v>
      </c>
      <c r="D78">
        <f t="shared" si="2"/>
        <v>174</v>
      </c>
      <c r="E78" t="s">
        <v>223</v>
      </c>
      <c r="F78">
        <f t="shared" si="3"/>
        <v>1.5837104072398251</v>
      </c>
    </row>
    <row r="79" spans="1:6" x14ac:dyDescent="0.35">
      <c r="A79" t="str">
        <f t="shared" si="0"/>
        <v>LiFePO4</v>
      </c>
      <c r="B79">
        <f t="shared" si="1"/>
        <v>124.80000000000001</v>
      </c>
      <c r="C79" t="s">
        <v>222</v>
      </c>
      <c r="D79">
        <f t="shared" si="2"/>
        <v>122.4</v>
      </c>
      <c r="E79" t="s">
        <v>223</v>
      </c>
      <c r="F79">
        <f t="shared" si="3"/>
        <v>1.9230769230769273</v>
      </c>
    </row>
    <row r="80" spans="1:6" x14ac:dyDescent="0.35">
      <c r="A80" t="str">
        <f t="shared" si="0"/>
        <v>PbZrO3</v>
      </c>
      <c r="B80">
        <f t="shared" si="1"/>
        <v>111.72</v>
      </c>
      <c r="C80" t="s">
        <v>222</v>
      </c>
      <c r="D80">
        <f t="shared" si="2"/>
        <v>117.29999999999998</v>
      </c>
      <c r="E80" t="s">
        <v>223</v>
      </c>
      <c r="F80">
        <f t="shared" si="3"/>
        <v>4.9946294307196419</v>
      </c>
    </row>
    <row r="81" spans="1:6" x14ac:dyDescent="0.35">
      <c r="A81" t="str">
        <f t="shared" si="0"/>
        <v>Nd2Fe14B</v>
      </c>
      <c r="B81">
        <f t="shared" si="1"/>
        <v>163.80000000000001</v>
      </c>
      <c r="C81" t="s">
        <v>222</v>
      </c>
      <c r="D81">
        <f t="shared" si="2"/>
        <v>172.79999999999998</v>
      </c>
      <c r="E81" t="s">
        <v>223</v>
      </c>
      <c r="F81">
        <f t="shared" si="3"/>
        <v>5.4945054945054768</v>
      </c>
    </row>
    <row r="82" spans="1:6" x14ac:dyDescent="0.35">
      <c r="A82" t="str">
        <f t="shared" si="0"/>
        <v>SiC</v>
      </c>
      <c r="B82">
        <f t="shared" si="1"/>
        <v>449.28</v>
      </c>
      <c r="C82" t="s">
        <v>222</v>
      </c>
      <c r="D82">
        <f t="shared" si="2"/>
        <v>445.49999999999994</v>
      </c>
      <c r="E82" t="s">
        <v>223</v>
      </c>
      <c r="F82">
        <f t="shared" si="3"/>
        <v>0.84134615384616041</v>
      </c>
    </row>
    <row r="83" spans="1:6" x14ac:dyDescent="0.35">
      <c r="A83" t="str">
        <f t="shared" si="0"/>
        <v>BN</v>
      </c>
      <c r="B83">
        <f t="shared" si="1"/>
        <v>19.739999999999998</v>
      </c>
      <c r="C83" t="s">
        <v>222</v>
      </c>
      <c r="D83">
        <f t="shared" si="2"/>
        <v>19.440000000000005</v>
      </c>
      <c r="E83" t="s">
        <v>223</v>
      </c>
      <c r="F83">
        <f t="shared" si="3"/>
        <v>1.5197568389057428</v>
      </c>
    </row>
    <row r="84" spans="1:6" x14ac:dyDescent="0.35">
      <c r="A84" t="str">
        <f t="shared" si="0"/>
        <v>Fe8Cr2Ni</v>
      </c>
      <c r="B84">
        <f t="shared" si="1"/>
        <v>195</v>
      </c>
      <c r="C84" t="s">
        <v>222</v>
      </c>
      <c r="D84">
        <f t="shared" si="2"/>
        <v>192</v>
      </c>
      <c r="E84" t="s">
        <v>223</v>
      </c>
      <c r="F84">
        <f t="shared" si="3"/>
        <v>1.5384615384615385</v>
      </c>
    </row>
    <row r="85" spans="1:6" x14ac:dyDescent="0.35">
      <c r="A85" t="str">
        <f t="shared" si="0"/>
        <v>Cr</v>
      </c>
      <c r="B85">
        <f t="shared" si="1"/>
        <v>278.3</v>
      </c>
      <c r="C85" t="s">
        <v>222</v>
      </c>
      <c r="D85">
        <f t="shared" si="2"/>
        <v>278.40000000000003</v>
      </c>
      <c r="E85" t="s">
        <v>223</v>
      </c>
      <c r="F85">
        <f t="shared" si="3"/>
        <v>3.5932446999648843E-2</v>
      </c>
    </row>
    <row r="86" spans="1:6" x14ac:dyDescent="0.35">
      <c r="A86" t="str">
        <f t="shared" si="0"/>
        <v>VC</v>
      </c>
      <c r="B86">
        <f t="shared" si="1"/>
        <v>471.2</v>
      </c>
      <c r="C86" t="s">
        <v>222</v>
      </c>
      <c r="D86">
        <f t="shared" si="2"/>
        <v>475.8</v>
      </c>
      <c r="E86" t="s">
        <v>223</v>
      </c>
      <c r="F86">
        <f t="shared" si="3"/>
        <v>0.9762308998302256</v>
      </c>
    </row>
    <row r="87" spans="1:6" x14ac:dyDescent="0.35">
      <c r="A87" t="str">
        <f t="shared" si="0"/>
        <v>TiN</v>
      </c>
      <c r="B87">
        <f t="shared" si="1"/>
        <v>458.71999999999997</v>
      </c>
      <c r="C87" t="s">
        <v>222</v>
      </c>
      <c r="D87">
        <f t="shared" si="2"/>
        <v>473.76000000000005</v>
      </c>
      <c r="E87" t="s">
        <v>223</v>
      </c>
      <c r="F87">
        <f t="shared" si="3"/>
        <v>3.2786885245901809</v>
      </c>
    </row>
    <row r="88" spans="1:6" x14ac:dyDescent="0.35">
      <c r="A88" t="str">
        <f t="shared" si="0"/>
        <v>Ti6Al4V</v>
      </c>
      <c r="B88">
        <f t="shared" si="1"/>
        <v>117.04</v>
      </c>
      <c r="C88" t="s">
        <v>222</v>
      </c>
      <c r="D88">
        <f t="shared" si="2"/>
        <v>114.24</v>
      </c>
      <c r="E88" t="s">
        <v>223</v>
      </c>
      <c r="F88">
        <f t="shared" si="3"/>
        <v>2.3923444976076653</v>
      </c>
    </row>
    <row r="89" spans="1:6" x14ac:dyDescent="0.35">
      <c r="A89" t="str">
        <f t="shared" si="0"/>
        <v>Co</v>
      </c>
      <c r="B89">
        <f t="shared" si="1"/>
        <v>214.84</v>
      </c>
      <c r="C89" t="s">
        <v>222</v>
      </c>
      <c r="D89">
        <f t="shared" si="2"/>
        <v>207.48</v>
      </c>
      <c r="E89" t="s">
        <v>223</v>
      </c>
      <c r="F89">
        <f t="shared" si="3"/>
        <v>3.4258052504189229</v>
      </c>
    </row>
    <row r="90" spans="1:6" x14ac:dyDescent="0.35">
      <c r="A90" t="str">
        <f t="shared" si="0"/>
        <v>Au</v>
      </c>
      <c r="B90">
        <f t="shared" si="1"/>
        <v>76.679999999999993</v>
      </c>
      <c r="C90" t="s">
        <v>222</v>
      </c>
      <c r="D90">
        <f t="shared" si="2"/>
        <v>83.04000000000002</v>
      </c>
      <c r="E90" t="s">
        <v>223</v>
      </c>
      <c r="F90">
        <f t="shared" si="3"/>
        <v>8.294209702660444</v>
      </c>
    </row>
    <row r="91" spans="1:6" x14ac:dyDescent="0.35">
      <c r="A91" t="str">
        <f t="shared" ref="A91:A122" si="4">C38</f>
        <v>Ag</v>
      </c>
      <c r="B91">
        <f t="shared" ref="B91:B122" si="5">2*I38*(1+J38)</f>
        <v>82.2</v>
      </c>
      <c r="C91" t="s">
        <v>222</v>
      </c>
      <c r="D91">
        <f t="shared" ref="D91:D122" si="6">3*H38*(1-2*J38)</f>
        <v>81.12</v>
      </c>
      <c r="E91" t="s">
        <v>223</v>
      </c>
      <c r="F91">
        <f t="shared" ref="F91:F108" si="7">IF(B91=0,"-",ABS(B91-D91)/B91*100)</f>
        <v>1.3138686131386841</v>
      </c>
    </row>
    <row r="92" spans="1:6" x14ac:dyDescent="0.35">
      <c r="A92" t="str">
        <f t="shared" si="4"/>
        <v>Pt</v>
      </c>
      <c r="B92">
        <f t="shared" si="5"/>
        <v>169.58</v>
      </c>
      <c r="C92" t="s">
        <v>222</v>
      </c>
      <c r="D92">
        <f t="shared" si="6"/>
        <v>186.77999999999997</v>
      </c>
      <c r="E92" t="s">
        <v>223</v>
      </c>
      <c r="F92">
        <f t="shared" si="7"/>
        <v>10.142705507724942</v>
      </c>
    </row>
    <row r="93" spans="1:6" x14ac:dyDescent="0.35">
      <c r="A93" t="str">
        <f t="shared" si="4"/>
        <v>Mo</v>
      </c>
      <c r="B93">
        <f t="shared" si="5"/>
        <v>322.56</v>
      </c>
      <c r="C93" t="s">
        <v>222</v>
      </c>
      <c r="D93">
        <f t="shared" si="6"/>
        <v>303.59999999999997</v>
      </c>
      <c r="E93" t="s">
        <v>223</v>
      </c>
      <c r="F93">
        <f t="shared" si="7"/>
        <v>5.8779761904762013</v>
      </c>
    </row>
    <row r="94" spans="1:6" x14ac:dyDescent="0.35">
      <c r="A94" t="str">
        <f t="shared" si="4"/>
        <v>WC</v>
      </c>
      <c r="B94">
        <f t="shared" si="5"/>
        <v>683.19999999999993</v>
      </c>
      <c r="C94" t="s">
        <v>222</v>
      </c>
      <c r="D94">
        <f t="shared" si="6"/>
        <v>672.00000000000011</v>
      </c>
      <c r="E94" t="s">
        <v>223</v>
      </c>
      <c r="F94">
        <f t="shared" si="7"/>
        <v>1.6393442622950554</v>
      </c>
    </row>
    <row r="95" spans="1:6" x14ac:dyDescent="0.35">
      <c r="A95" t="str">
        <f t="shared" si="4"/>
        <v>Ge</v>
      </c>
      <c r="B95">
        <f t="shared" si="5"/>
        <v>133.1</v>
      </c>
      <c r="C95" t="s">
        <v>222</v>
      </c>
      <c r="D95">
        <f t="shared" si="6"/>
        <v>130.50000000000003</v>
      </c>
      <c r="E95" t="s">
        <v>223</v>
      </c>
      <c r="F95">
        <f t="shared" si="7"/>
        <v>1.9534184823440766</v>
      </c>
    </row>
    <row r="96" spans="1:6" x14ac:dyDescent="0.35">
      <c r="A96" t="str">
        <f t="shared" si="4"/>
        <v>CdTe</v>
      </c>
      <c r="B96">
        <f t="shared" si="5"/>
        <v>45.900000000000006</v>
      </c>
      <c r="C96" t="s">
        <v>222</v>
      </c>
      <c r="D96">
        <f t="shared" si="6"/>
        <v>40.500000000000007</v>
      </c>
      <c r="E96" t="s">
        <v>223</v>
      </c>
      <c r="F96">
        <f t="shared" si="7"/>
        <v>11.764705882352937</v>
      </c>
    </row>
    <row r="97" spans="1:6" x14ac:dyDescent="0.35">
      <c r="A97" t="str">
        <f t="shared" si="4"/>
        <v>InP</v>
      </c>
      <c r="B97">
        <f t="shared" si="5"/>
        <v>81.599999999999994</v>
      </c>
      <c r="C97" t="s">
        <v>222</v>
      </c>
      <c r="D97">
        <f t="shared" si="6"/>
        <v>59.640000000000008</v>
      </c>
      <c r="E97" t="s">
        <v>223</v>
      </c>
      <c r="F97">
        <f t="shared" si="7"/>
        <v>26.911764705882341</v>
      </c>
    </row>
    <row r="98" spans="1:6" x14ac:dyDescent="0.35">
      <c r="A98" t="str">
        <f t="shared" si="4"/>
        <v>Mn</v>
      </c>
      <c r="B98">
        <f t="shared" si="5"/>
        <v>153.6</v>
      </c>
      <c r="C98" t="s">
        <v>222</v>
      </c>
      <c r="D98">
        <f t="shared" si="6"/>
        <v>158.39999999999998</v>
      </c>
      <c r="E98" t="s">
        <v>223</v>
      </c>
      <c r="F98">
        <f t="shared" si="7"/>
        <v>3.1249999999999889</v>
      </c>
    </row>
    <row r="99" spans="1:6" x14ac:dyDescent="0.35">
      <c r="A99" t="str">
        <f t="shared" si="4"/>
        <v>Ni3Al</v>
      </c>
      <c r="B99">
        <f t="shared" si="5"/>
        <v>205.4</v>
      </c>
      <c r="C99" t="s">
        <v>222</v>
      </c>
      <c r="D99">
        <f t="shared" si="6"/>
        <v>206.4</v>
      </c>
      <c r="E99" t="s">
        <v>223</v>
      </c>
      <c r="F99">
        <f t="shared" si="7"/>
        <v>0.48685491723466401</v>
      </c>
    </row>
    <row r="100" spans="1:6" x14ac:dyDescent="0.35">
      <c r="A100" t="str">
        <f t="shared" si="4"/>
        <v>MgAl2O4</v>
      </c>
      <c r="B100">
        <f t="shared" si="5"/>
        <v>274.32</v>
      </c>
      <c r="C100" t="s">
        <v>222</v>
      </c>
      <c r="D100">
        <f t="shared" si="6"/>
        <v>273.23999999999995</v>
      </c>
      <c r="E100" t="s">
        <v>223</v>
      </c>
      <c r="F100">
        <f t="shared" si="7"/>
        <v>0.3937007874015897</v>
      </c>
    </row>
    <row r="101" spans="1:6" x14ac:dyDescent="0.35">
      <c r="A101" t="str">
        <f t="shared" si="4"/>
        <v>Y2Zr2O7</v>
      </c>
      <c r="B101">
        <f t="shared" si="5"/>
        <v>247</v>
      </c>
      <c r="C101" t="s">
        <v>222</v>
      </c>
      <c r="D101">
        <f t="shared" si="6"/>
        <v>252</v>
      </c>
      <c r="E101" t="s">
        <v>223</v>
      </c>
      <c r="F101">
        <f t="shared" si="7"/>
        <v>2.0242914979757085</v>
      </c>
    </row>
    <row r="102" spans="1:6" x14ac:dyDescent="0.35">
      <c r="A102" t="str">
        <f t="shared" si="4"/>
        <v>Li</v>
      </c>
      <c r="B102">
        <f t="shared" si="5"/>
        <v>11.423999999999999</v>
      </c>
      <c r="C102" t="s">
        <v>222</v>
      </c>
      <c r="D102">
        <f t="shared" si="6"/>
        <v>9.24</v>
      </c>
      <c r="E102" t="s">
        <v>223</v>
      </c>
      <c r="F102">
        <f t="shared" si="7"/>
        <v>19.117647058823522</v>
      </c>
    </row>
    <row r="103" spans="1:6" x14ac:dyDescent="0.35">
      <c r="A103" t="str">
        <f t="shared" si="4"/>
        <v>Fe16N2</v>
      </c>
      <c r="B103">
        <f t="shared" si="5"/>
        <v>219.3</v>
      </c>
      <c r="C103" t="s">
        <v>222</v>
      </c>
      <c r="D103">
        <f t="shared" si="6"/>
        <v>220.50000000000003</v>
      </c>
      <c r="E103" t="s">
        <v>223</v>
      </c>
      <c r="F103">
        <f t="shared" si="7"/>
        <v>0.54719562243502828</v>
      </c>
    </row>
    <row r="104" spans="1:6" x14ac:dyDescent="0.35">
      <c r="A104" t="str">
        <f t="shared" si="4"/>
        <v>SmCo5</v>
      </c>
      <c r="B104">
        <f t="shared" si="5"/>
        <v>189</v>
      </c>
      <c r="C104" t="s">
        <v>222</v>
      </c>
      <c r="D104">
        <f t="shared" si="6"/>
        <v>201.6</v>
      </c>
      <c r="E104" t="s">
        <v>223</v>
      </c>
      <c r="F104">
        <f t="shared" si="7"/>
        <v>6.6666666666666634</v>
      </c>
    </row>
    <row r="105" spans="1:6" x14ac:dyDescent="0.35">
      <c r="A105" t="str">
        <f t="shared" si="4"/>
        <v>Ni8Fe2Cr2</v>
      </c>
      <c r="B105">
        <f t="shared" si="5"/>
        <v>202.8</v>
      </c>
      <c r="C105" t="s">
        <v>222</v>
      </c>
      <c r="D105">
        <f t="shared" si="6"/>
        <v>201.60000000000002</v>
      </c>
      <c r="E105" t="s">
        <v>223</v>
      </c>
      <c r="F105">
        <f t="shared" si="7"/>
        <v>0.59171597633135531</v>
      </c>
    </row>
    <row r="106" spans="1:6" x14ac:dyDescent="0.35">
      <c r="A106" t="str">
        <f t="shared" si="4"/>
        <v>TiO2</v>
      </c>
      <c r="B106">
        <f t="shared" si="5"/>
        <v>230.4</v>
      </c>
      <c r="C106" t="s">
        <v>222</v>
      </c>
      <c r="D106">
        <f t="shared" si="6"/>
        <v>237.59999999999997</v>
      </c>
      <c r="E106" t="s">
        <v>223</v>
      </c>
      <c r="F106">
        <f t="shared" si="7"/>
        <v>3.1249999999999827</v>
      </c>
    </row>
    <row r="107" spans="1:6" x14ac:dyDescent="0.35">
      <c r="A107" t="str">
        <f t="shared" si="4"/>
        <v>Sn</v>
      </c>
      <c r="B107">
        <f t="shared" si="5"/>
        <v>48.959999999999994</v>
      </c>
      <c r="C107" t="s">
        <v>222</v>
      </c>
      <c r="D107">
        <f t="shared" si="6"/>
        <v>48.720000000000006</v>
      </c>
      <c r="E107" t="s">
        <v>223</v>
      </c>
      <c r="F107">
        <f t="shared" si="7"/>
        <v>0.49019607843134766</v>
      </c>
    </row>
    <row r="108" spans="1:6" x14ac:dyDescent="0.35">
      <c r="A108" t="str">
        <f t="shared" si="4"/>
        <v>C</v>
      </c>
      <c r="B108">
        <f t="shared" si="5"/>
        <v>1144.9000000000001</v>
      </c>
      <c r="C108" t="s">
        <v>222</v>
      </c>
      <c r="D108">
        <f t="shared" si="6"/>
        <v>1142.94</v>
      </c>
      <c r="E108" t="s">
        <v>223</v>
      </c>
      <c r="F108">
        <f t="shared" si="7"/>
        <v>0.17119399074155264</v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workbookViewId="0">
      <selection sqref="A1:I1"/>
    </sheetView>
  </sheetViews>
  <sheetFormatPr defaultRowHeight="14.5" x14ac:dyDescent="0.35"/>
  <cols>
    <col min="1" max="1" width="14" customWidth="1"/>
    <col min="2" max="5" width="12" customWidth="1"/>
    <col min="6" max="6" width="10" customWidth="1"/>
    <col min="7" max="7" width="14" customWidth="1"/>
    <col min="8" max="8" width="18" customWidth="1"/>
    <col min="9" max="9" width="10" customWidth="1"/>
    <col min="10" max="12" width="12" customWidth="1"/>
  </cols>
  <sheetData>
    <row r="1" spans="1:9" ht="18" x14ac:dyDescent="0.4">
      <c r="A1" s="9" t="s">
        <v>224</v>
      </c>
      <c r="B1" s="7"/>
      <c r="C1" s="7"/>
      <c r="D1" s="7"/>
      <c r="E1" s="7"/>
      <c r="F1" s="7"/>
      <c r="G1" s="7"/>
      <c r="H1" s="7"/>
      <c r="I1" s="7"/>
    </row>
    <row r="2" spans="1:9" x14ac:dyDescent="0.35">
      <c r="A2" s="8" t="s">
        <v>225</v>
      </c>
      <c r="B2" s="7"/>
      <c r="C2" s="7"/>
      <c r="D2" s="7"/>
      <c r="E2" s="7"/>
      <c r="F2" s="7"/>
      <c r="G2" s="7"/>
      <c r="H2" s="7"/>
      <c r="I2" s="7"/>
    </row>
    <row r="4" spans="1:9" x14ac:dyDescent="0.35">
      <c r="A4" s="4" t="s">
        <v>226</v>
      </c>
    </row>
    <row r="5" spans="1:9" ht="26" x14ac:dyDescent="0.35">
      <c r="A5" s="1" t="s">
        <v>227</v>
      </c>
      <c r="B5" s="1" t="s">
        <v>228</v>
      </c>
      <c r="C5" s="1" t="s">
        <v>229</v>
      </c>
      <c r="D5" s="1" t="s">
        <v>230</v>
      </c>
      <c r="E5" s="1" t="s">
        <v>231</v>
      </c>
      <c r="F5" s="1" t="s">
        <v>232</v>
      </c>
    </row>
    <row r="6" spans="1:9" x14ac:dyDescent="0.35">
      <c r="A6" s="2" t="s">
        <v>233</v>
      </c>
      <c r="B6" s="2" t="s">
        <v>234</v>
      </c>
      <c r="C6" s="2" t="s">
        <v>235</v>
      </c>
      <c r="D6" s="2" t="s">
        <v>236</v>
      </c>
      <c r="E6" s="2" t="s">
        <v>237</v>
      </c>
      <c r="F6" s="2" t="s">
        <v>238</v>
      </c>
    </row>
    <row r="7" spans="1:9" x14ac:dyDescent="0.35">
      <c r="A7" s="3" t="s">
        <v>22</v>
      </c>
      <c r="B7" s="3" t="s">
        <v>239</v>
      </c>
      <c r="C7" s="3" t="s">
        <v>240</v>
      </c>
      <c r="D7" s="3" t="s">
        <v>241</v>
      </c>
      <c r="E7" s="3" t="s">
        <v>237</v>
      </c>
      <c r="F7" s="3" t="s">
        <v>242</v>
      </c>
    </row>
    <row r="8" spans="1:9" x14ac:dyDescent="0.35">
      <c r="A8" s="2" t="s">
        <v>26</v>
      </c>
      <c r="B8" s="2" t="s">
        <v>243</v>
      </c>
      <c r="C8" s="2" t="s">
        <v>244</v>
      </c>
      <c r="D8" s="2" t="s">
        <v>245</v>
      </c>
      <c r="E8" s="2" t="s">
        <v>237</v>
      </c>
      <c r="F8" s="2" t="s">
        <v>246</v>
      </c>
    </row>
    <row r="9" spans="1:9" x14ac:dyDescent="0.35">
      <c r="A9" s="3" t="s">
        <v>39</v>
      </c>
      <c r="B9" s="3" t="s">
        <v>247</v>
      </c>
      <c r="C9" s="3" t="s">
        <v>240</v>
      </c>
      <c r="D9" s="3" t="s">
        <v>241</v>
      </c>
      <c r="E9" s="3" t="s">
        <v>237</v>
      </c>
      <c r="F9" s="3" t="s">
        <v>248</v>
      </c>
    </row>
    <row r="10" spans="1:9" x14ac:dyDescent="0.35">
      <c r="A10" s="2" t="s">
        <v>249</v>
      </c>
      <c r="B10" s="2" t="s">
        <v>250</v>
      </c>
      <c r="C10" s="2" t="s">
        <v>251</v>
      </c>
      <c r="D10" s="2" t="s">
        <v>252</v>
      </c>
      <c r="E10" s="2" t="s">
        <v>237</v>
      </c>
      <c r="F10" s="2" t="s">
        <v>253</v>
      </c>
    </row>
    <row r="11" spans="1:9" x14ac:dyDescent="0.35">
      <c r="A11" s="3" t="s">
        <v>254</v>
      </c>
      <c r="B11" s="3" t="s">
        <v>255</v>
      </c>
      <c r="C11" s="3" t="s">
        <v>256</v>
      </c>
      <c r="D11" s="3" t="s">
        <v>256</v>
      </c>
      <c r="E11" s="3" t="s">
        <v>237</v>
      </c>
      <c r="F11" s="3" t="s">
        <v>257</v>
      </c>
    </row>
    <row r="12" spans="1:9" x14ac:dyDescent="0.35">
      <c r="A12" s="2" t="s">
        <v>258</v>
      </c>
      <c r="B12" s="2" t="s">
        <v>259</v>
      </c>
      <c r="C12" s="2" t="s">
        <v>251</v>
      </c>
      <c r="D12" s="2" t="s">
        <v>252</v>
      </c>
      <c r="E12" s="2" t="s">
        <v>237</v>
      </c>
      <c r="F12" s="2" t="s">
        <v>260</v>
      </c>
    </row>
    <row r="13" spans="1:9" x14ac:dyDescent="0.35">
      <c r="A13" s="3" t="s">
        <v>261</v>
      </c>
      <c r="B13" s="3" t="s">
        <v>262</v>
      </c>
      <c r="C13" s="3" t="s">
        <v>263</v>
      </c>
      <c r="D13" s="3" t="s">
        <v>264</v>
      </c>
      <c r="E13" s="3" t="s">
        <v>237</v>
      </c>
      <c r="F13" s="3" t="s">
        <v>265</v>
      </c>
    </row>
    <row r="16" spans="1:9" x14ac:dyDescent="0.35">
      <c r="A16" s="4" t="s">
        <v>266</v>
      </c>
    </row>
    <row r="17" spans="1:12" x14ac:dyDescent="0.35">
      <c r="A17" s="1" t="s">
        <v>267</v>
      </c>
      <c r="B17" s="1" t="s">
        <v>268</v>
      </c>
      <c r="C17" s="1" t="s">
        <v>269</v>
      </c>
      <c r="D17" s="1" t="s">
        <v>270</v>
      </c>
      <c r="E17" s="1" t="s">
        <v>271</v>
      </c>
      <c r="F17" s="1" t="s">
        <v>272</v>
      </c>
      <c r="G17" s="1" t="s">
        <v>273</v>
      </c>
      <c r="H17" s="1" t="s">
        <v>274</v>
      </c>
      <c r="I17" s="1" t="s">
        <v>275</v>
      </c>
      <c r="J17" s="1" t="s">
        <v>276</v>
      </c>
      <c r="K17" s="1" t="s">
        <v>277</v>
      </c>
      <c r="L17" s="1" t="s">
        <v>278</v>
      </c>
    </row>
    <row r="18" spans="1:12" x14ac:dyDescent="0.35">
      <c r="A18" s="2" t="s">
        <v>279</v>
      </c>
      <c r="B18" s="2">
        <v>986.09</v>
      </c>
      <c r="C18" s="2">
        <v>992.12</v>
      </c>
      <c r="D18" s="2">
        <v>980.1</v>
      </c>
      <c r="E18" s="2">
        <v>984.28</v>
      </c>
      <c r="F18" s="2">
        <v>2350</v>
      </c>
      <c r="G18" s="2"/>
      <c r="H18" s="2"/>
      <c r="I18" s="2"/>
      <c r="J18" s="2"/>
      <c r="K18" s="2"/>
      <c r="L18" s="2">
        <v>-13.42</v>
      </c>
    </row>
    <row r="19" spans="1:12" x14ac:dyDescent="0.35">
      <c r="A19" s="3" t="s">
        <v>280</v>
      </c>
      <c r="B19" s="3">
        <v>982</v>
      </c>
      <c r="C19" s="3">
        <v>988.53</v>
      </c>
      <c r="D19" s="3">
        <v>980.23</v>
      </c>
      <c r="E19" s="3">
        <v>983.22</v>
      </c>
      <c r="F19" s="3">
        <v>2281</v>
      </c>
      <c r="G19" s="3">
        <f t="shared" ref="G19:G47" si="0">LN(E19/E18)</f>
        <v>-1.0775096341116687E-3</v>
      </c>
      <c r="H19" s="3"/>
      <c r="I19" s="3"/>
      <c r="J19" s="3"/>
      <c r="K19" s="3"/>
      <c r="L19" s="3">
        <v>-3.45</v>
      </c>
    </row>
    <row r="20" spans="1:12" x14ac:dyDescent="0.35">
      <c r="A20" s="2" t="s">
        <v>281</v>
      </c>
      <c r="B20" s="2">
        <v>984.1</v>
      </c>
      <c r="C20" s="2">
        <v>985.4</v>
      </c>
      <c r="D20" s="2">
        <v>976.59</v>
      </c>
      <c r="E20" s="2">
        <v>982.89</v>
      </c>
      <c r="F20" s="2">
        <v>1985</v>
      </c>
      <c r="G20" s="2">
        <f t="shared" si="0"/>
        <v>-3.3568824033135725E-4</v>
      </c>
      <c r="H20" s="2"/>
      <c r="I20" s="2"/>
      <c r="J20" s="2"/>
      <c r="K20" s="2"/>
      <c r="L20" s="2">
        <v>4.7</v>
      </c>
    </row>
    <row r="21" spans="1:12" x14ac:dyDescent="0.35">
      <c r="A21" s="3" t="s">
        <v>282</v>
      </c>
      <c r="B21" s="3">
        <v>994.28</v>
      </c>
      <c r="C21" s="3">
        <v>1001.3</v>
      </c>
      <c r="D21" s="3">
        <v>986.86</v>
      </c>
      <c r="E21" s="3">
        <v>992.16</v>
      </c>
      <c r="F21" s="3">
        <v>2657</v>
      </c>
      <c r="G21" s="3">
        <f t="shared" si="0"/>
        <v>9.3871730557114359E-3</v>
      </c>
      <c r="H21" s="3"/>
      <c r="I21" s="3"/>
      <c r="J21" s="3"/>
      <c r="K21" s="3"/>
      <c r="L21" s="3">
        <v>-2.29</v>
      </c>
    </row>
    <row r="22" spans="1:12" x14ac:dyDescent="0.35">
      <c r="A22" s="2" t="s">
        <v>283</v>
      </c>
      <c r="B22" s="2">
        <v>990.83</v>
      </c>
      <c r="C22" s="2">
        <v>995.19</v>
      </c>
      <c r="D22" s="2">
        <v>984.35</v>
      </c>
      <c r="E22" s="2">
        <v>991.63</v>
      </c>
      <c r="F22" s="2">
        <v>1893</v>
      </c>
      <c r="G22" s="2">
        <f t="shared" si="0"/>
        <v>-5.3433076344773891E-4</v>
      </c>
      <c r="H22" s="2"/>
      <c r="I22" s="2"/>
      <c r="J22" s="2"/>
      <c r="K22" s="2"/>
      <c r="L22" s="2">
        <v>-0.96</v>
      </c>
    </row>
    <row r="23" spans="1:12" x14ac:dyDescent="0.35">
      <c r="A23" s="3" t="s">
        <v>284</v>
      </c>
      <c r="B23" s="3">
        <v>975.87</v>
      </c>
      <c r="C23" s="3">
        <v>977.34</v>
      </c>
      <c r="D23" s="3">
        <v>971.33</v>
      </c>
      <c r="E23" s="3">
        <v>974.8</v>
      </c>
      <c r="F23" s="3">
        <v>2987</v>
      </c>
      <c r="G23" s="3">
        <f t="shared" si="0"/>
        <v>-1.7117732087068956E-2</v>
      </c>
      <c r="H23" s="3"/>
      <c r="I23" s="3"/>
      <c r="J23" s="3"/>
      <c r="K23" s="3"/>
      <c r="L23" s="3">
        <v>-0.42</v>
      </c>
    </row>
    <row r="24" spans="1:12" x14ac:dyDescent="0.35">
      <c r="A24" s="2" t="s">
        <v>285</v>
      </c>
      <c r="B24" s="2">
        <v>977.69</v>
      </c>
      <c r="C24" s="2">
        <v>983.25</v>
      </c>
      <c r="D24" s="2">
        <v>976.64</v>
      </c>
      <c r="E24" s="2">
        <v>979.67</v>
      </c>
      <c r="F24" s="2">
        <v>3421</v>
      </c>
      <c r="G24" s="2">
        <f t="shared" si="0"/>
        <v>4.9834585118312159E-3</v>
      </c>
      <c r="H24" s="2"/>
      <c r="I24" s="2"/>
      <c r="J24" s="2"/>
      <c r="K24" s="2"/>
      <c r="L24" s="2">
        <v>-1.24</v>
      </c>
    </row>
    <row r="25" spans="1:12" x14ac:dyDescent="0.35">
      <c r="A25" s="3" t="s">
        <v>286</v>
      </c>
      <c r="B25" s="3">
        <v>975.86</v>
      </c>
      <c r="C25" s="3">
        <v>980.7</v>
      </c>
      <c r="D25" s="3">
        <v>973.3</v>
      </c>
      <c r="E25" s="3">
        <v>977.5</v>
      </c>
      <c r="F25" s="3">
        <v>1029</v>
      </c>
      <c r="G25" s="3">
        <f t="shared" si="0"/>
        <v>-2.217488403361504E-3</v>
      </c>
      <c r="H25" s="3"/>
      <c r="I25" s="3"/>
      <c r="J25" s="3"/>
      <c r="K25" s="3"/>
      <c r="L25" s="3">
        <v>-10.42</v>
      </c>
    </row>
    <row r="26" spans="1:12" x14ac:dyDescent="0.35">
      <c r="A26" s="2" t="s">
        <v>287</v>
      </c>
      <c r="B26" s="2">
        <v>973.19</v>
      </c>
      <c r="C26" s="2">
        <v>979.06</v>
      </c>
      <c r="D26" s="2">
        <v>967.23</v>
      </c>
      <c r="E26" s="2">
        <v>975.93</v>
      </c>
      <c r="F26" s="2">
        <v>1664</v>
      </c>
      <c r="G26" s="2">
        <f t="shared" si="0"/>
        <v>-1.6074293300000668E-3</v>
      </c>
      <c r="H26" s="2"/>
      <c r="I26" s="2"/>
      <c r="J26" s="2"/>
      <c r="K26" s="2"/>
      <c r="L26" s="2">
        <v>3.26</v>
      </c>
    </row>
    <row r="27" spans="1:12" x14ac:dyDescent="0.35">
      <c r="A27" s="3" t="s">
        <v>288</v>
      </c>
      <c r="B27" s="3">
        <v>978.66</v>
      </c>
      <c r="C27" s="3">
        <v>984.56</v>
      </c>
      <c r="D27" s="3">
        <v>971.9</v>
      </c>
      <c r="E27" s="3">
        <v>978.27</v>
      </c>
      <c r="F27" s="3">
        <v>2844</v>
      </c>
      <c r="G27" s="3">
        <f t="shared" si="0"/>
        <v>2.3948430236190956E-3</v>
      </c>
      <c r="H27" s="3"/>
      <c r="I27" s="3"/>
      <c r="J27" s="3"/>
      <c r="K27" s="3"/>
      <c r="L27" s="3">
        <v>-7.09</v>
      </c>
    </row>
    <row r="28" spans="1:12" x14ac:dyDescent="0.35">
      <c r="A28" s="2" t="s">
        <v>289</v>
      </c>
      <c r="B28" s="2">
        <v>984.41</v>
      </c>
      <c r="C28" s="2">
        <v>988.56</v>
      </c>
      <c r="D28" s="2">
        <v>975.93</v>
      </c>
      <c r="E28" s="2">
        <v>981.97</v>
      </c>
      <c r="F28" s="2">
        <v>1810</v>
      </c>
      <c r="G28" s="2">
        <f t="shared" si="0"/>
        <v>3.7750524365015208E-3</v>
      </c>
      <c r="H28" s="2"/>
      <c r="I28" s="2"/>
      <c r="J28" s="2"/>
      <c r="K28" s="2"/>
      <c r="L28" s="2">
        <v>-0.1</v>
      </c>
    </row>
    <row r="29" spans="1:12" x14ac:dyDescent="0.35">
      <c r="A29" s="3" t="s">
        <v>290</v>
      </c>
      <c r="B29" s="3">
        <v>996.9</v>
      </c>
      <c r="C29" s="3">
        <v>1003.11</v>
      </c>
      <c r="D29" s="3">
        <v>991.69</v>
      </c>
      <c r="E29" s="3">
        <v>996.67</v>
      </c>
      <c r="F29" s="3">
        <v>3190</v>
      </c>
      <c r="G29" s="3">
        <f t="shared" si="0"/>
        <v>1.4858964202993775E-2</v>
      </c>
      <c r="H29" s="3"/>
      <c r="I29" s="3"/>
      <c r="J29" s="3"/>
      <c r="K29" s="3"/>
      <c r="L29" s="3">
        <v>-7.01</v>
      </c>
    </row>
    <row r="30" spans="1:12" x14ac:dyDescent="0.35">
      <c r="A30" s="2" t="s">
        <v>291</v>
      </c>
      <c r="B30" s="2">
        <v>1003.83</v>
      </c>
      <c r="C30" s="2">
        <v>1013.55</v>
      </c>
      <c r="D30" s="2">
        <v>999.38</v>
      </c>
      <c r="E30" s="2">
        <v>1005.52</v>
      </c>
      <c r="F30" s="2">
        <v>1172</v>
      </c>
      <c r="G30" s="2">
        <f t="shared" si="0"/>
        <v>8.8403774239471083E-3</v>
      </c>
      <c r="H30" s="2"/>
      <c r="I30" s="2"/>
      <c r="J30" s="2"/>
      <c r="K30" s="2"/>
      <c r="L30" s="2">
        <v>0.12</v>
      </c>
    </row>
    <row r="31" spans="1:12" x14ac:dyDescent="0.35">
      <c r="A31" s="3" t="s">
        <v>292</v>
      </c>
      <c r="B31" s="3">
        <v>1010.04</v>
      </c>
      <c r="C31" s="3">
        <v>1012.13</v>
      </c>
      <c r="D31" s="3">
        <v>1000.93</v>
      </c>
      <c r="E31" s="3">
        <v>1007.86</v>
      </c>
      <c r="F31" s="3">
        <v>2529</v>
      </c>
      <c r="G31" s="3">
        <f t="shared" si="0"/>
        <v>2.3244504798881471E-3</v>
      </c>
      <c r="H31" s="3"/>
      <c r="I31" s="3"/>
      <c r="J31" s="3"/>
      <c r="K31" s="3"/>
      <c r="L31" s="3">
        <v>-3.07</v>
      </c>
    </row>
    <row r="32" spans="1:12" x14ac:dyDescent="0.35">
      <c r="A32" s="2" t="s">
        <v>293</v>
      </c>
      <c r="B32" s="2">
        <v>999.24</v>
      </c>
      <c r="C32" s="2">
        <v>1005.1</v>
      </c>
      <c r="D32" s="2">
        <v>994.52</v>
      </c>
      <c r="E32" s="2">
        <v>999.93</v>
      </c>
      <c r="F32" s="2">
        <v>1829</v>
      </c>
      <c r="G32" s="2">
        <f t="shared" si="0"/>
        <v>-7.8992735644474801E-3</v>
      </c>
      <c r="H32" s="2"/>
      <c r="I32" s="2"/>
      <c r="J32" s="2"/>
      <c r="K32" s="2"/>
      <c r="L32" s="2">
        <v>4.42</v>
      </c>
    </row>
    <row r="33" spans="1:12" x14ac:dyDescent="0.35">
      <c r="A33" s="3" t="s">
        <v>294</v>
      </c>
      <c r="B33" s="3">
        <v>990.9</v>
      </c>
      <c r="C33" s="3">
        <v>991.97</v>
      </c>
      <c r="D33" s="3">
        <v>985.84</v>
      </c>
      <c r="E33" s="3">
        <v>988.76</v>
      </c>
      <c r="F33" s="3">
        <v>2999</v>
      </c>
      <c r="G33" s="3">
        <f t="shared" si="0"/>
        <v>-1.1233643721277647E-2</v>
      </c>
      <c r="H33" s="3"/>
      <c r="I33" s="3"/>
      <c r="J33" s="3"/>
      <c r="K33" s="3"/>
      <c r="L33" s="3">
        <v>0.02</v>
      </c>
    </row>
    <row r="34" spans="1:12" x14ac:dyDescent="0.35">
      <c r="A34" s="2" t="s">
        <v>295</v>
      </c>
      <c r="B34" s="2">
        <v>994.27</v>
      </c>
      <c r="C34" s="2">
        <v>997.63</v>
      </c>
      <c r="D34" s="2">
        <v>986.77</v>
      </c>
      <c r="E34" s="2">
        <v>992.67</v>
      </c>
      <c r="F34" s="2">
        <v>1447</v>
      </c>
      <c r="G34" s="2">
        <f t="shared" si="0"/>
        <v>3.9466497178228897E-3</v>
      </c>
      <c r="H34" s="2"/>
      <c r="I34" s="2"/>
      <c r="J34" s="2"/>
      <c r="K34" s="2"/>
      <c r="L34" s="2">
        <v>-5.93</v>
      </c>
    </row>
    <row r="35" spans="1:12" x14ac:dyDescent="0.35">
      <c r="A35" s="3" t="s">
        <v>296</v>
      </c>
      <c r="B35" s="3">
        <v>1012.03</v>
      </c>
      <c r="C35" s="3">
        <v>1019.24</v>
      </c>
      <c r="D35" s="3">
        <v>1003.07</v>
      </c>
      <c r="E35" s="3">
        <v>1009.28</v>
      </c>
      <c r="F35" s="3">
        <v>2850</v>
      </c>
      <c r="G35" s="3">
        <f t="shared" si="0"/>
        <v>1.6594201806050816E-2</v>
      </c>
      <c r="H35" s="3"/>
      <c r="I35" s="3"/>
      <c r="J35" s="3"/>
      <c r="K35" s="3"/>
      <c r="L35" s="3">
        <v>0.24</v>
      </c>
    </row>
    <row r="36" spans="1:12" x14ac:dyDescent="0.35">
      <c r="A36" s="2" t="s">
        <v>297</v>
      </c>
      <c r="B36" s="2">
        <v>1010.84</v>
      </c>
      <c r="C36" s="2">
        <v>1012.6</v>
      </c>
      <c r="D36" s="2">
        <v>1007.13</v>
      </c>
      <c r="E36" s="2">
        <v>1010.79</v>
      </c>
      <c r="F36" s="2">
        <v>3417</v>
      </c>
      <c r="G36" s="2">
        <f t="shared" si="0"/>
        <v>1.4949979765453384E-3</v>
      </c>
      <c r="H36" s="2"/>
      <c r="I36" s="2"/>
      <c r="J36" s="2"/>
      <c r="K36" s="2"/>
      <c r="L36" s="2">
        <v>-4.8499999999999996</v>
      </c>
    </row>
    <row r="37" spans="1:12" x14ac:dyDescent="0.35">
      <c r="A37" s="3" t="s">
        <v>298</v>
      </c>
      <c r="B37" s="3">
        <v>1008.69</v>
      </c>
      <c r="C37" s="3">
        <v>1014.18</v>
      </c>
      <c r="D37" s="3">
        <v>1001.77</v>
      </c>
      <c r="E37" s="3">
        <v>1010.52</v>
      </c>
      <c r="F37" s="3">
        <v>2972</v>
      </c>
      <c r="G37" s="3">
        <f t="shared" si="0"/>
        <v>-2.6715348126293229E-4</v>
      </c>
      <c r="H37" s="3"/>
      <c r="I37" s="3"/>
      <c r="J37" s="3"/>
      <c r="K37" s="3"/>
      <c r="L37" s="3">
        <v>3.37</v>
      </c>
    </row>
    <row r="38" spans="1:12" x14ac:dyDescent="0.35">
      <c r="A38" s="2" t="s">
        <v>299</v>
      </c>
      <c r="B38" s="2">
        <v>1018.57</v>
      </c>
      <c r="C38" s="2">
        <v>1023.08</v>
      </c>
      <c r="D38" s="2">
        <v>1010.62</v>
      </c>
      <c r="E38" s="2">
        <v>1017.97</v>
      </c>
      <c r="F38" s="2">
        <v>2286</v>
      </c>
      <c r="G38" s="2">
        <f t="shared" si="0"/>
        <v>7.3453982981978175E-3</v>
      </c>
      <c r="H38" s="2"/>
      <c r="I38" s="2"/>
      <c r="J38" s="2"/>
      <c r="K38" s="2"/>
      <c r="L38" s="2">
        <v>2.57</v>
      </c>
    </row>
    <row r="39" spans="1:12" x14ac:dyDescent="0.35">
      <c r="A39" s="3" t="s">
        <v>300</v>
      </c>
      <c r="B39" s="3">
        <v>1003.23</v>
      </c>
      <c r="C39" s="3">
        <v>1006.4</v>
      </c>
      <c r="D39" s="3">
        <v>993.64</v>
      </c>
      <c r="E39" s="3">
        <v>1001.24</v>
      </c>
      <c r="F39" s="3">
        <v>3123</v>
      </c>
      <c r="G39" s="3">
        <f t="shared" si="0"/>
        <v>-1.657121631101089E-2</v>
      </c>
      <c r="H39" s="3"/>
      <c r="I39" s="3"/>
      <c r="J39" s="3"/>
      <c r="K39" s="3"/>
      <c r="L39" s="3">
        <v>3.94</v>
      </c>
    </row>
    <row r="40" spans="1:12" x14ac:dyDescent="0.35">
      <c r="A40" s="2" t="s">
        <v>301</v>
      </c>
      <c r="B40" s="2">
        <v>996.01</v>
      </c>
      <c r="C40" s="2">
        <v>1002.89</v>
      </c>
      <c r="D40" s="2">
        <v>988.52</v>
      </c>
      <c r="E40" s="2">
        <v>998.49</v>
      </c>
      <c r="F40" s="2">
        <v>2981</v>
      </c>
      <c r="G40" s="2">
        <f t="shared" si="0"/>
        <v>-2.7503730339024641E-3</v>
      </c>
      <c r="H40" s="2"/>
      <c r="I40" s="2"/>
      <c r="J40" s="2"/>
      <c r="K40" s="2"/>
      <c r="L40" s="2">
        <v>0.32</v>
      </c>
    </row>
    <row r="41" spans="1:12" x14ac:dyDescent="0.35">
      <c r="A41" s="3" t="s">
        <v>302</v>
      </c>
      <c r="B41" s="3">
        <v>1003.12</v>
      </c>
      <c r="C41" s="3">
        <v>1009.71</v>
      </c>
      <c r="D41" s="3">
        <v>998.95</v>
      </c>
      <c r="E41" s="3">
        <v>1005.36</v>
      </c>
      <c r="F41" s="3">
        <v>1885</v>
      </c>
      <c r="G41" s="3">
        <f t="shared" si="0"/>
        <v>6.8568275237037074E-3</v>
      </c>
      <c r="H41" s="3"/>
      <c r="I41" s="3"/>
      <c r="J41" s="3"/>
      <c r="K41" s="3"/>
      <c r="L41" s="3">
        <v>-4.45</v>
      </c>
    </row>
    <row r="42" spans="1:12" x14ac:dyDescent="0.35">
      <c r="A42" s="2" t="s">
        <v>303</v>
      </c>
      <c r="B42" s="2">
        <v>1017.55</v>
      </c>
      <c r="C42" s="2">
        <v>1025.44</v>
      </c>
      <c r="D42" s="2">
        <v>1015.38</v>
      </c>
      <c r="E42" s="2">
        <v>1016.9</v>
      </c>
      <c r="F42" s="2">
        <v>1623</v>
      </c>
      <c r="G42" s="2">
        <f t="shared" si="0"/>
        <v>1.1413097490202667E-2</v>
      </c>
      <c r="H42" s="2"/>
      <c r="I42" s="2"/>
      <c r="J42" s="2"/>
      <c r="K42" s="2"/>
      <c r="L42" s="2">
        <v>-0.74</v>
      </c>
    </row>
    <row r="43" spans="1:12" x14ac:dyDescent="0.35">
      <c r="A43" s="3" t="s">
        <v>304</v>
      </c>
      <c r="B43" s="3">
        <v>1014.36</v>
      </c>
      <c r="C43" s="3">
        <v>1020.77</v>
      </c>
      <c r="D43" s="3">
        <v>1008.9</v>
      </c>
      <c r="E43" s="3">
        <v>1014.98</v>
      </c>
      <c r="F43" s="3">
        <v>2919</v>
      </c>
      <c r="G43" s="3">
        <f t="shared" si="0"/>
        <v>-1.8898759488363932E-3</v>
      </c>
      <c r="H43" s="3"/>
      <c r="I43" s="3"/>
      <c r="J43" s="3"/>
      <c r="K43" s="3"/>
      <c r="L43" s="3">
        <v>-5.97</v>
      </c>
    </row>
    <row r="44" spans="1:12" x14ac:dyDescent="0.35">
      <c r="A44" s="2" t="s">
        <v>305</v>
      </c>
      <c r="B44" s="2">
        <v>1019.04</v>
      </c>
      <c r="C44" s="2">
        <v>1022.06</v>
      </c>
      <c r="D44" s="2">
        <v>1011.03</v>
      </c>
      <c r="E44" s="2">
        <v>1020.58</v>
      </c>
      <c r="F44" s="2">
        <v>3068</v>
      </c>
      <c r="G44" s="2">
        <f t="shared" si="0"/>
        <v>5.5021852737128125E-3</v>
      </c>
      <c r="H44" s="2"/>
      <c r="I44" s="2"/>
      <c r="J44" s="2"/>
      <c r="K44" s="2"/>
      <c r="L44" s="2">
        <v>-10.4</v>
      </c>
    </row>
    <row r="45" spans="1:12" x14ac:dyDescent="0.35">
      <c r="A45" s="3" t="s">
        <v>306</v>
      </c>
      <c r="B45" s="3">
        <v>1022.92</v>
      </c>
      <c r="C45" s="3">
        <v>1026.17</v>
      </c>
      <c r="D45" s="3">
        <v>1019.26</v>
      </c>
      <c r="E45" s="3">
        <v>1024.6400000000001</v>
      </c>
      <c r="F45" s="3">
        <v>1737</v>
      </c>
      <c r="G45" s="3">
        <f t="shared" si="0"/>
        <v>3.9702382463270231E-3</v>
      </c>
      <c r="H45" s="3"/>
      <c r="I45" s="3"/>
      <c r="J45" s="3"/>
      <c r="K45" s="3"/>
      <c r="L45" s="3">
        <v>-13.65</v>
      </c>
    </row>
    <row r="46" spans="1:12" x14ac:dyDescent="0.35">
      <c r="A46" s="2" t="s">
        <v>307</v>
      </c>
      <c r="B46" s="2">
        <v>1032.3800000000001</v>
      </c>
      <c r="C46" s="2">
        <v>1038.72</v>
      </c>
      <c r="D46" s="2">
        <v>1027.8399999999999</v>
      </c>
      <c r="E46" s="2">
        <v>1035.29</v>
      </c>
      <c r="F46" s="2">
        <v>1940</v>
      </c>
      <c r="G46" s="2">
        <f t="shared" si="0"/>
        <v>1.0340249321095134E-2</v>
      </c>
      <c r="H46" s="2"/>
      <c r="I46" s="2"/>
      <c r="J46" s="2"/>
      <c r="K46" s="2"/>
      <c r="L46" s="2">
        <v>-1.62</v>
      </c>
    </row>
    <row r="47" spans="1:12" x14ac:dyDescent="0.35">
      <c r="A47" s="3" t="s">
        <v>308</v>
      </c>
      <c r="B47" s="3">
        <v>1020.74</v>
      </c>
      <c r="C47" s="3">
        <v>1024.46</v>
      </c>
      <c r="D47" s="3">
        <v>1019.26</v>
      </c>
      <c r="E47" s="3">
        <v>1022.49</v>
      </c>
      <c r="F47" s="3">
        <v>3138</v>
      </c>
      <c r="G47" s="3">
        <f t="shared" si="0"/>
        <v>-1.2440751771357882E-2</v>
      </c>
      <c r="H47" s="3"/>
      <c r="I47" s="3"/>
      <c r="J47" s="3"/>
      <c r="K47" s="3"/>
      <c r="L47" s="3">
        <v>-3.48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workbookViewId="0">
      <selection sqref="A1:P1"/>
    </sheetView>
  </sheetViews>
  <sheetFormatPr defaultRowHeight="14.5" x14ac:dyDescent="0.35"/>
  <cols>
    <col min="1" max="1" width="10" customWidth="1"/>
    <col min="2" max="2" width="14" customWidth="1"/>
    <col min="3" max="4" width="16" customWidth="1"/>
    <col min="5" max="5" width="12" customWidth="1"/>
    <col min="6" max="8" width="14" customWidth="1"/>
    <col min="9" max="9" width="16" customWidth="1"/>
    <col min="10" max="10" width="14" customWidth="1"/>
    <col min="11" max="11" width="16" customWidth="1"/>
    <col min="12" max="12" width="18" customWidth="1"/>
    <col min="13" max="13" width="16" customWidth="1"/>
    <col min="14" max="14" width="14" customWidth="1"/>
    <col min="15" max="15" width="18" customWidth="1"/>
    <col min="16" max="16" width="16" customWidth="1"/>
  </cols>
  <sheetData>
    <row r="1" spans="1:16" ht="18" x14ac:dyDescent="0.4">
      <c r="A1" s="9" t="s">
        <v>309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35">
      <c r="A2" s="8" t="s">
        <v>310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4" spans="1:16" ht="26" x14ac:dyDescent="0.35">
      <c r="A4" s="1" t="s">
        <v>311</v>
      </c>
      <c r="B4" s="1" t="s">
        <v>312</v>
      </c>
      <c r="C4" s="1" t="s">
        <v>313</v>
      </c>
      <c r="D4" s="1" t="s">
        <v>314</v>
      </c>
      <c r="E4" s="1" t="s">
        <v>315</v>
      </c>
      <c r="F4" s="1" t="s">
        <v>316</v>
      </c>
      <c r="G4" s="1" t="s">
        <v>317</v>
      </c>
      <c r="H4" s="1" t="s">
        <v>318</v>
      </c>
      <c r="I4" s="1" t="s">
        <v>319</v>
      </c>
      <c r="J4" s="1" t="s">
        <v>320</v>
      </c>
      <c r="K4" s="1" t="s">
        <v>321</v>
      </c>
      <c r="L4" s="1" t="s">
        <v>322</v>
      </c>
      <c r="M4" s="1" t="s">
        <v>323</v>
      </c>
      <c r="N4" s="1" t="s">
        <v>324</v>
      </c>
      <c r="O4" s="1" t="s">
        <v>325</v>
      </c>
      <c r="P4" s="1" t="s">
        <v>326</v>
      </c>
    </row>
    <row r="5" spans="1:16" x14ac:dyDescent="0.35">
      <c r="A5" s="2" t="s">
        <v>327</v>
      </c>
      <c r="B5" s="2" t="s">
        <v>328</v>
      </c>
      <c r="C5" s="2" t="s">
        <v>329</v>
      </c>
      <c r="D5" s="2" t="s">
        <v>330</v>
      </c>
      <c r="E5" s="2" t="s">
        <v>331</v>
      </c>
      <c r="F5" s="2">
        <v>42</v>
      </c>
      <c r="G5" s="2">
        <v>75</v>
      </c>
      <c r="H5" s="2" t="s">
        <v>332</v>
      </c>
      <c r="I5" s="2" t="s">
        <v>333</v>
      </c>
      <c r="J5" s="2">
        <v>5</v>
      </c>
      <c r="K5" s="2">
        <v>12</v>
      </c>
      <c r="L5" s="2">
        <v>8</v>
      </c>
      <c r="M5" s="2" t="s">
        <v>334</v>
      </c>
      <c r="N5" s="2" t="s">
        <v>335</v>
      </c>
      <c r="O5" s="2" t="s">
        <v>336</v>
      </c>
      <c r="P5" s="2">
        <v>185</v>
      </c>
    </row>
    <row r="6" spans="1:16" x14ac:dyDescent="0.35">
      <c r="A6" s="3" t="s">
        <v>337</v>
      </c>
      <c r="B6" s="3" t="s">
        <v>328</v>
      </c>
      <c r="C6" s="3" t="s">
        <v>338</v>
      </c>
      <c r="D6" s="3" t="s">
        <v>339</v>
      </c>
      <c r="E6" s="3" t="s">
        <v>340</v>
      </c>
      <c r="F6" s="3">
        <v>28</v>
      </c>
      <c r="G6" s="3">
        <v>75</v>
      </c>
      <c r="H6" s="3" t="s">
        <v>341</v>
      </c>
      <c r="I6" s="3" t="s">
        <v>342</v>
      </c>
      <c r="J6" s="3">
        <v>6</v>
      </c>
      <c r="K6" s="3">
        <v>8.5</v>
      </c>
      <c r="L6" s="3">
        <v>12</v>
      </c>
      <c r="M6" s="3" t="s">
        <v>343</v>
      </c>
      <c r="N6" s="3" t="s">
        <v>344</v>
      </c>
      <c r="O6" s="3" t="s">
        <v>345</v>
      </c>
      <c r="P6" s="3">
        <v>95</v>
      </c>
    </row>
    <row r="7" spans="1:16" x14ac:dyDescent="0.35">
      <c r="A7" s="2" t="s">
        <v>346</v>
      </c>
      <c r="B7" s="2" t="s">
        <v>328</v>
      </c>
      <c r="C7" s="2" t="s">
        <v>347</v>
      </c>
      <c r="D7" s="2" t="s">
        <v>348</v>
      </c>
      <c r="E7" s="2" t="s">
        <v>349</v>
      </c>
      <c r="F7" s="2">
        <v>15</v>
      </c>
      <c r="G7" s="2">
        <v>100</v>
      </c>
      <c r="H7" s="2" t="s">
        <v>350</v>
      </c>
      <c r="I7" s="2" t="s">
        <v>351</v>
      </c>
      <c r="J7" s="2">
        <v>7</v>
      </c>
      <c r="K7" s="2">
        <v>3.2</v>
      </c>
      <c r="L7" s="2">
        <v>15</v>
      </c>
      <c r="M7" s="2" t="s">
        <v>352</v>
      </c>
      <c r="N7" s="2" t="s">
        <v>287</v>
      </c>
      <c r="O7" s="2" t="s">
        <v>353</v>
      </c>
      <c r="P7" s="2">
        <v>28</v>
      </c>
    </row>
    <row r="8" spans="1:16" x14ac:dyDescent="0.35">
      <c r="A8" s="3" t="s">
        <v>354</v>
      </c>
      <c r="B8" s="3" t="s">
        <v>355</v>
      </c>
      <c r="C8" s="3" t="s">
        <v>356</v>
      </c>
      <c r="D8" s="3" t="s">
        <v>357</v>
      </c>
      <c r="E8" s="3" t="s">
        <v>358</v>
      </c>
      <c r="F8" s="3">
        <v>35</v>
      </c>
      <c r="G8" s="3">
        <v>50</v>
      </c>
      <c r="H8" s="3" t="s">
        <v>359</v>
      </c>
      <c r="I8" s="3" t="s">
        <v>333</v>
      </c>
      <c r="J8" s="3">
        <v>4</v>
      </c>
      <c r="K8" s="3">
        <v>45</v>
      </c>
      <c r="L8" s="3">
        <v>5</v>
      </c>
      <c r="M8" s="3" t="s">
        <v>360</v>
      </c>
      <c r="N8" s="3" t="s">
        <v>361</v>
      </c>
      <c r="O8" s="3" t="s">
        <v>362</v>
      </c>
      <c r="P8" s="3">
        <v>520</v>
      </c>
    </row>
    <row r="9" spans="1:16" x14ac:dyDescent="0.35">
      <c r="A9" s="2" t="s">
        <v>363</v>
      </c>
      <c r="B9" s="2" t="s">
        <v>355</v>
      </c>
      <c r="C9" s="2" t="s">
        <v>364</v>
      </c>
      <c r="D9" s="2" t="s">
        <v>357</v>
      </c>
      <c r="E9" s="2" t="s">
        <v>365</v>
      </c>
      <c r="F9" s="2">
        <v>22</v>
      </c>
      <c r="G9" s="2">
        <v>50</v>
      </c>
      <c r="H9" s="2" t="s">
        <v>366</v>
      </c>
      <c r="I9" s="2" t="s">
        <v>367</v>
      </c>
      <c r="J9" s="2">
        <v>7</v>
      </c>
      <c r="K9" s="2">
        <v>28</v>
      </c>
      <c r="L9" s="2">
        <v>15</v>
      </c>
      <c r="M9" s="2" t="s">
        <v>368</v>
      </c>
      <c r="N9" s="2" t="s">
        <v>369</v>
      </c>
      <c r="O9" s="2" t="s">
        <v>370</v>
      </c>
      <c r="P9" s="2">
        <v>180</v>
      </c>
    </row>
    <row r="10" spans="1:16" x14ac:dyDescent="0.35">
      <c r="A10" s="3" t="s">
        <v>371</v>
      </c>
      <c r="B10" s="3" t="s">
        <v>372</v>
      </c>
      <c r="C10" s="3" t="s">
        <v>373</v>
      </c>
      <c r="D10" s="3" t="s">
        <v>374</v>
      </c>
      <c r="E10" s="3" t="s">
        <v>375</v>
      </c>
      <c r="F10" s="3">
        <v>38</v>
      </c>
      <c r="G10" s="3">
        <v>60</v>
      </c>
      <c r="H10" s="3" t="s">
        <v>376</v>
      </c>
      <c r="I10" s="3" t="s">
        <v>377</v>
      </c>
      <c r="J10" s="3">
        <v>5</v>
      </c>
      <c r="K10" s="3">
        <v>65</v>
      </c>
      <c r="L10" s="3">
        <v>10</v>
      </c>
      <c r="M10" s="3" t="s">
        <v>378</v>
      </c>
      <c r="N10" s="3" t="s">
        <v>379</v>
      </c>
      <c r="O10" s="3" t="s">
        <v>380</v>
      </c>
      <c r="P10" s="3">
        <v>480</v>
      </c>
    </row>
    <row r="11" spans="1:16" x14ac:dyDescent="0.35">
      <c r="A11" s="2" t="s">
        <v>381</v>
      </c>
      <c r="B11" s="2" t="s">
        <v>372</v>
      </c>
      <c r="C11" s="2" t="s">
        <v>382</v>
      </c>
      <c r="D11" s="2" t="s">
        <v>383</v>
      </c>
      <c r="E11" s="2" t="s">
        <v>384</v>
      </c>
      <c r="F11" s="2">
        <v>25</v>
      </c>
      <c r="G11" s="2">
        <v>60</v>
      </c>
      <c r="H11" s="2" t="s">
        <v>385</v>
      </c>
      <c r="I11" s="2" t="s">
        <v>386</v>
      </c>
      <c r="J11" s="2">
        <v>7</v>
      </c>
      <c r="K11" s="2">
        <v>15</v>
      </c>
      <c r="L11" s="2">
        <v>18</v>
      </c>
      <c r="M11" s="2" t="s">
        <v>387</v>
      </c>
      <c r="N11" s="2" t="s">
        <v>388</v>
      </c>
      <c r="O11" s="2" t="s">
        <v>389</v>
      </c>
      <c r="P11" s="2">
        <v>65</v>
      </c>
    </row>
    <row r="12" spans="1:16" x14ac:dyDescent="0.35">
      <c r="A12" s="3" t="s">
        <v>390</v>
      </c>
      <c r="B12" s="3" t="s">
        <v>391</v>
      </c>
      <c r="C12" s="3" t="s">
        <v>392</v>
      </c>
      <c r="D12" s="3" t="s">
        <v>393</v>
      </c>
      <c r="E12" s="3" t="s">
        <v>394</v>
      </c>
      <c r="F12" s="3">
        <v>30</v>
      </c>
      <c r="G12" s="3">
        <v>40</v>
      </c>
      <c r="H12" s="3" t="s">
        <v>395</v>
      </c>
      <c r="I12" s="3" t="s">
        <v>396</v>
      </c>
      <c r="J12" s="3">
        <v>5</v>
      </c>
      <c r="K12" s="3">
        <v>120</v>
      </c>
      <c r="L12" s="3">
        <v>5</v>
      </c>
      <c r="M12" s="3" t="s">
        <v>397</v>
      </c>
      <c r="N12" s="3" t="s">
        <v>398</v>
      </c>
      <c r="O12" s="3" t="s">
        <v>399</v>
      </c>
      <c r="P12" s="3">
        <v>1250</v>
      </c>
    </row>
    <row r="13" spans="1:16" x14ac:dyDescent="0.35">
      <c r="A13" s="2" t="s">
        <v>400</v>
      </c>
      <c r="B13" s="2" t="s">
        <v>328</v>
      </c>
      <c r="C13" s="2" t="s">
        <v>329</v>
      </c>
      <c r="D13" s="2" t="s">
        <v>401</v>
      </c>
      <c r="E13" s="2" t="s">
        <v>402</v>
      </c>
      <c r="F13" s="2">
        <v>50</v>
      </c>
      <c r="G13" s="2">
        <v>75</v>
      </c>
      <c r="H13" s="2" t="s">
        <v>403</v>
      </c>
      <c r="I13" s="2" t="s">
        <v>333</v>
      </c>
      <c r="J13" s="2">
        <v>4</v>
      </c>
      <c r="K13" s="2">
        <v>18</v>
      </c>
      <c r="L13" s="2">
        <v>6</v>
      </c>
      <c r="M13" s="2" t="s">
        <v>404</v>
      </c>
      <c r="N13" s="2" t="s">
        <v>405</v>
      </c>
      <c r="O13" s="2" t="s">
        <v>380</v>
      </c>
      <c r="P13" s="2">
        <v>245</v>
      </c>
    </row>
    <row r="14" spans="1:16" x14ac:dyDescent="0.35">
      <c r="A14" s="3" t="s">
        <v>406</v>
      </c>
      <c r="B14" s="3" t="s">
        <v>328</v>
      </c>
      <c r="C14" s="3" t="s">
        <v>329</v>
      </c>
      <c r="D14" s="3" t="s">
        <v>407</v>
      </c>
      <c r="E14" s="3" t="s">
        <v>408</v>
      </c>
      <c r="F14" s="3">
        <v>55</v>
      </c>
      <c r="G14" s="3">
        <v>75</v>
      </c>
      <c r="H14" s="3" t="s">
        <v>409</v>
      </c>
      <c r="I14" s="3" t="s">
        <v>351</v>
      </c>
      <c r="J14" s="3">
        <v>3</v>
      </c>
      <c r="K14" s="3">
        <v>22</v>
      </c>
      <c r="L14" s="3">
        <v>4</v>
      </c>
      <c r="M14" s="3" t="s">
        <v>410</v>
      </c>
      <c r="N14" s="3" t="s">
        <v>411</v>
      </c>
      <c r="O14" s="3" t="s">
        <v>412</v>
      </c>
      <c r="P14" s="3">
        <v>380</v>
      </c>
    </row>
    <row r="17" spans="1:10" x14ac:dyDescent="0.35">
      <c r="A17" s="4" t="s">
        <v>413</v>
      </c>
    </row>
    <row r="18" spans="1:10" ht="39" x14ac:dyDescent="0.35">
      <c r="A18" s="1" t="s">
        <v>311</v>
      </c>
      <c r="B18" s="1" t="s">
        <v>414</v>
      </c>
      <c r="C18" s="1" t="s">
        <v>415</v>
      </c>
      <c r="D18" s="1" t="s">
        <v>416</v>
      </c>
      <c r="E18" s="1" t="s">
        <v>417</v>
      </c>
      <c r="F18" s="1" t="s">
        <v>418</v>
      </c>
      <c r="G18" s="1" t="s">
        <v>419</v>
      </c>
      <c r="H18" s="1" t="s">
        <v>420</v>
      </c>
      <c r="I18" s="1" t="s">
        <v>421</v>
      </c>
      <c r="J18" s="1" t="s">
        <v>422</v>
      </c>
    </row>
    <row r="19" spans="1:10" x14ac:dyDescent="0.35">
      <c r="A19" s="2" t="s">
        <v>327</v>
      </c>
      <c r="B19" s="2" t="s">
        <v>423</v>
      </c>
      <c r="C19" s="2">
        <v>450</v>
      </c>
      <c r="D19" s="2">
        <v>250</v>
      </c>
      <c r="E19" s="2">
        <v>0.08</v>
      </c>
      <c r="F19" s="2">
        <v>6.9000000000000001E-12</v>
      </c>
      <c r="G19" s="2">
        <v>3</v>
      </c>
      <c r="H19" s="2" t="s">
        <v>424</v>
      </c>
      <c r="I19" s="2">
        <v>18</v>
      </c>
      <c r="J19" s="2">
        <v>8</v>
      </c>
    </row>
    <row r="20" spans="1:10" x14ac:dyDescent="0.35">
      <c r="A20" s="3" t="s">
        <v>337</v>
      </c>
      <c r="B20" s="3" t="s">
        <v>425</v>
      </c>
      <c r="C20" s="3">
        <v>485</v>
      </c>
      <c r="D20" s="3">
        <v>345</v>
      </c>
      <c r="E20" s="3">
        <v>0.04</v>
      </c>
      <c r="F20" s="3">
        <v>5.1999999999999997E-12</v>
      </c>
      <c r="G20" s="3">
        <v>2.8</v>
      </c>
      <c r="H20" s="3" t="s">
        <v>424</v>
      </c>
      <c r="I20" s="3">
        <v>16</v>
      </c>
      <c r="J20" s="3">
        <v>7</v>
      </c>
    </row>
    <row r="21" spans="1:10" x14ac:dyDescent="0.35">
      <c r="A21" s="2" t="s">
        <v>346</v>
      </c>
      <c r="B21" s="2" t="s">
        <v>426</v>
      </c>
      <c r="C21" s="2">
        <v>515</v>
      </c>
      <c r="D21" s="2">
        <v>205</v>
      </c>
      <c r="E21" s="2">
        <v>0.01</v>
      </c>
      <c r="F21" s="2">
        <v>3.1000000000000001E-12</v>
      </c>
      <c r="G21" s="2">
        <v>3.2</v>
      </c>
      <c r="H21" s="2" t="s">
        <v>427</v>
      </c>
      <c r="I21" s="2">
        <v>12</v>
      </c>
      <c r="J21" s="2">
        <v>5</v>
      </c>
    </row>
    <row r="22" spans="1:10" x14ac:dyDescent="0.35">
      <c r="A22" s="3" t="s">
        <v>354</v>
      </c>
      <c r="B22" s="3" t="s">
        <v>358</v>
      </c>
      <c r="C22" s="3">
        <v>535</v>
      </c>
      <c r="D22" s="3">
        <v>450</v>
      </c>
      <c r="E22" s="3">
        <v>0.12</v>
      </c>
      <c r="F22" s="3">
        <v>8.4999999999999997E-12</v>
      </c>
      <c r="G22" s="3">
        <v>3.1</v>
      </c>
      <c r="H22" s="3" t="s">
        <v>428</v>
      </c>
      <c r="I22" s="3">
        <v>22</v>
      </c>
      <c r="J22" s="3">
        <v>10</v>
      </c>
    </row>
    <row r="23" spans="1:10" x14ac:dyDescent="0.35">
      <c r="A23" s="2" t="s">
        <v>363</v>
      </c>
      <c r="B23" s="2" t="s">
        <v>365</v>
      </c>
      <c r="C23" s="2">
        <v>570</v>
      </c>
      <c r="D23" s="2">
        <v>485</v>
      </c>
      <c r="E23" s="2">
        <v>0.03</v>
      </c>
      <c r="F23" s="2">
        <v>7.7999999999999999E-12</v>
      </c>
      <c r="G23" s="2">
        <v>3</v>
      </c>
      <c r="H23" s="2" t="s">
        <v>424</v>
      </c>
      <c r="I23" s="2">
        <v>20</v>
      </c>
      <c r="J23" s="2">
        <v>9</v>
      </c>
    </row>
    <row r="24" spans="1:10" x14ac:dyDescent="0.35">
      <c r="A24" s="3" t="s">
        <v>371</v>
      </c>
      <c r="B24" s="3" t="s">
        <v>429</v>
      </c>
      <c r="C24" s="3">
        <v>25</v>
      </c>
      <c r="D24" s="3">
        <v>20</v>
      </c>
      <c r="E24" s="3">
        <v>0.06</v>
      </c>
      <c r="F24" s="3" t="s">
        <v>430</v>
      </c>
      <c r="G24" s="3" t="s">
        <v>430</v>
      </c>
      <c r="H24" s="3" t="s">
        <v>431</v>
      </c>
      <c r="I24" s="3">
        <v>50</v>
      </c>
      <c r="J24" s="3">
        <v>25</v>
      </c>
    </row>
    <row r="25" spans="1:10" x14ac:dyDescent="0.35">
      <c r="A25" s="2" t="s">
        <v>381</v>
      </c>
      <c r="B25" s="2" t="s">
        <v>432</v>
      </c>
      <c r="C25" s="2">
        <v>35</v>
      </c>
      <c r="D25" s="2">
        <v>28</v>
      </c>
      <c r="E25" s="2">
        <v>0.02</v>
      </c>
      <c r="F25" s="2" t="s">
        <v>430</v>
      </c>
      <c r="G25" s="2" t="s">
        <v>430</v>
      </c>
      <c r="H25" s="2" t="s">
        <v>433</v>
      </c>
      <c r="I25" s="2">
        <v>60</v>
      </c>
      <c r="J25" s="2">
        <v>30</v>
      </c>
    </row>
    <row r="26" spans="1:10" x14ac:dyDescent="0.35">
      <c r="A26" s="3" t="s">
        <v>390</v>
      </c>
      <c r="B26" s="3" t="s">
        <v>394</v>
      </c>
      <c r="C26" s="3">
        <v>1240</v>
      </c>
      <c r="D26" s="3">
        <v>1035</v>
      </c>
      <c r="E26" s="3">
        <v>5.0000000000000001E-3</v>
      </c>
      <c r="F26" s="3">
        <v>4.1999999999999999E-12</v>
      </c>
      <c r="G26" s="3">
        <v>3.5</v>
      </c>
      <c r="H26" s="3" t="s">
        <v>434</v>
      </c>
      <c r="I26" s="3">
        <v>8</v>
      </c>
      <c r="J26" s="3">
        <v>4</v>
      </c>
    </row>
    <row r="27" spans="1:10" x14ac:dyDescent="0.35">
      <c r="A27" s="2" t="s">
        <v>400</v>
      </c>
      <c r="B27" s="2" t="s">
        <v>435</v>
      </c>
      <c r="C27" s="2">
        <v>40</v>
      </c>
      <c r="D27" s="2">
        <v>32</v>
      </c>
      <c r="E27" s="2">
        <v>0.09</v>
      </c>
      <c r="F27" s="2" t="s">
        <v>430</v>
      </c>
      <c r="G27" s="2" t="s">
        <v>430</v>
      </c>
      <c r="H27" s="2" t="s">
        <v>436</v>
      </c>
      <c r="I27" s="2">
        <v>55</v>
      </c>
      <c r="J27" s="2">
        <v>25</v>
      </c>
    </row>
    <row r="28" spans="1:10" x14ac:dyDescent="0.35">
      <c r="A28" s="3" t="s">
        <v>406</v>
      </c>
      <c r="B28" s="3" t="s">
        <v>437</v>
      </c>
      <c r="C28" s="3">
        <v>400</v>
      </c>
      <c r="D28" s="3">
        <v>230</v>
      </c>
      <c r="E28" s="3">
        <v>7.0000000000000007E-2</v>
      </c>
      <c r="F28" s="3">
        <v>6.5000000000000002E-12</v>
      </c>
      <c r="G28" s="3">
        <v>3</v>
      </c>
      <c r="H28" s="3" t="s">
        <v>438</v>
      </c>
      <c r="I28" s="3">
        <v>15</v>
      </c>
      <c r="J28" s="3">
        <v>7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sqref="A1:K1"/>
    </sheetView>
  </sheetViews>
  <sheetFormatPr defaultRowHeight="14.5" x14ac:dyDescent="0.35"/>
  <cols>
    <col min="1" max="1" width="16" customWidth="1"/>
    <col min="2" max="2" width="10" customWidth="1"/>
    <col min="3" max="5" width="14" customWidth="1"/>
    <col min="6" max="7" width="22" customWidth="1"/>
    <col min="8" max="8" width="18" customWidth="1"/>
    <col min="9" max="10" width="22" customWidth="1"/>
    <col min="11" max="11" width="18" customWidth="1"/>
  </cols>
  <sheetData>
    <row r="1" spans="1:11" ht="18" x14ac:dyDescent="0.4">
      <c r="A1" s="9" t="s">
        <v>439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35">
      <c r="A2" s="8" t="s">
        <v>440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spans="1:11" ht="26" x14ac:dyDescent="0.35">
      <c r="A4" s="1" t="s">
        <v>227</v>
      </c>
      <c r="B4" s="1" t="s">
        <v>228</v>
      </c>
      <c r="C4" s="1" t="s">
        <v>441</v>
      </c>
      <c r="D4" s="1" t="s">
        <v>442</v>
      </c>
      <c r="E4" s="1" t="s">
        <v>443</v>
      </c>
      <c r="F4" s="1" t="s">
        <v>444</v>
      </c>
      <c r="G4" s="1" t="s">
        <v>445</v>
      </c>
      <c r="H4" s="1" t="s">
        <v>446</v>
      </c>
      <c r="I4" s="1" t="s">
        <v>447</v>
      </c>
      <c r="J4" s="1" t="s">
        <v>448</v>
      </c>
      <c r="K4" s="1" t="s">
        <v>449</v>
      </c>
    </row>
    <row r="5" spans="1:11" x14ac:dyDescent="0.35">
      <c r="A5" s="2" t="s">
        <v>233</v>
      </c>
      <c r="B5" s="2" t="s">
        <v>234</v>
      </c>
      <c r="C5" s="2">
        <v>78.5</v>
      </c>
      <c r="D5" s="2">
        <v>2.2999999999999998</v>
      </c>
      <c r="E5" s="2">
        <v>1.1000000000000001</v>
      </c>
      <c r="F5" s="2">
        <v>0.18</v>
      </c>
      <c r="G5" s="2">
        <v>0.42</v>
      </c>
      <c r="H5" s="2">
        <v>0.15</v>
      </c>
      <c r="I5" s="2">
        <v>2.1</v>
      </c>
      <c r="J5" s="2">
        <v>0.4</v>
      </c>
      <c r="K5" s="2">
        <v>0.08</v>
      </c>
    </row>
    <row r="6" spans="1:11" x14ac:dyDescent="0.35">
      <c r="A6" s="3" t="s">
        <v>450</v>
      </c>
      <c r="B6" s="3" t="s">
        <v>239</v>
      </c>
      <c r="C6" s="3">
        <v>82.1</v>
      </c>
      <c r="D6" s="3">
        <v>-0.8</v>
      </c>
      <c r="E6" s="3">
        <v>0.5</v>
      </c>
      <c r="F6" s="3">
        <v>0.12</v>
      </c>
      <c r="G6" s="3">
        <v>0.55000000000000004</v>
      </c>
      <c r="H6" s="3">
        <v>0.85</v>
      </c>
      <c r="I6" s="3">
        <v>12</v>
      </c>
      <c r="J6" s="3">
        <v>0.6</v>
      </c>
      <c r="K6" s="3">
        <v>0.12</v>
      </c>
    </row>
    <row r="7" spans="1:11" x14ac:dyDescent="0.35">
      <c r="A7" s="2" t="s">
        <v>451</v>
      </c>
      <c r="B7" s="2" t="s">
        <v>243</v>
      </c>
      <c r="C7" s="2">
        <v>85.3</v>
      </c>
      <c r="D7" s="2">
        <v>0.5</v>
      </c>
      <c r="E7" s="2">
        <v>1.8</v>
      </c>
      <c r="F7" s="2">
        <v>0.15</v>
      </c>
      <c r="G7" s="2">
        <v>0.28000000000000003</v>
      </c>
      <c r="H7" s="2">
        <v>0.22</v>
      </c>
      <c r="I7" s="2">
        <v>3.5</v>
      </c>
      <c r="J7" s="2">
        <v>1.2</v>
      </c>
      <c r="K7" s="2">
        <v>0.15</v>
      </c>
    </row>
    <row r="8" spans="1:11" x14ac:dyDescent="0.35">
      <c r="A8" s="3" t="s">
        <v>452</v>
      </c>
      <c r="B8" s="3" t="s">
        <v>247</v>
      </c>
      <c r="C8" s="3">
        <v>71.2</v>
      </c>
      <c r="D8" s="3">
        <v>-3.1</v>
      </c>
      <c r="E8" s="3">
        <v>-5.2</v>
      </c>
      <c r="F8" s="3">
        <v>0.35</v>
      </c>
      <c r="G8" s="3">
        <v>0.38</v>
      </c>
      <c r="H8" s="3">
        <v>1.2</v>
      </c>
      <c r="I8" s="3">
        <v>8</v>
      </c>
      <c r="J8" s="3">
        <v>3.5</v>
      </c>
      <c r="K8" s="3">
        <v>0.22</v>
      </c>
    </row>
    <row r="9" spans="1:11" x14ac:dyDescent="0.35">
      <c r="A9" s="2" t="s">
        <v>192</v>
      </c>
      <c r="B9" s="2" t="s">
        <v>250</v>
      </c>
      <c r="C9" s="2">
        <v>68.8</v>
      </c>
      <c r="D9" s="2">
        <v>1.7</v>
      </c>
      <c r="E9" s="2">
        <v>-2.2999999999999998</v>
      </c>
      <c r="F9" s="2">
        <v>0.42</v>
      </c>
      <c r="G9" s="2">
        <v>0.22</v>
      </c>
      <c r="H9" s="2">
        <v>2.5</v>
      </c>
      <c r="I9" s="2">
        <v>15</v>
      </c>
      <c r="J9" s="2">
        <v>8</v>
      </c>
      <c r="K9" s="2">
        <v>0.35</v>
      </c>
    </row>
    <row r="10" spans="1:11" x14ac:dyDescent="0.35">
      <c r="A10" s="3" t="s">
        <v>142</v>
      </c>
      <c r="B10" s="3" t="s">
        <v>255</v>
      </c>
      <c r="C10" s="3">
        <v>74.5</v>
      </c>
      <c r="D10" s="3">
        <v>-1.2</v>
      </c>
      <c r="E10" s="3">
        <v>-0.8</v>
      </c>
      <c r="F10" s="3">
        <v>0.55000000000000004</v>
      </c>
      <c r="G10" s="3">
        <v>0.65</v>
      </c>
      <c r="H10" s="3">
        <v>4.0999999999999996</v>
      </c>
      <c r="I10" s="3">
        <v>22</v>
      </c>
      <c r="J10" s="3">
        <v>12</v>
      </c>
      <c r="K10" s="3">
        <v>0.45</v>
      </c>
    </row>
    <row r="11" spans="1:11" x14ac:dyDescent="0.35">
      <c r="A11" s="2" t="s">
        <v>453</v>
      </c>
      <c r="B11" s="2" t="s">
        <v>259</v>
      </c>
      <c r="C11" s="2">
        <v>62.3</v>
      </c>
      <c r="D11" s="2">
        <v>-5.8</v>
      </c>
      <c r="E11" s="2">
        <v>-8.1</v>
      </c>
      <c r="F11" s="2">
        <v>0.85</v>
      </c>
      <c r="G11" s="2">
        <v>0.12</v>
      </c>
      <c r="H11" s="2" t="s">
        <v>430</v>
      </c>
      <c r="I11" s="2">
        <v>25</v>
      </c>
      <c r="J11" s="2" t="s">
        <v>430</v>
      </c>
      <c r="K11" s="2">
        <v>0.72</v>
      </c>
    </row>
    <row r="12" spans="1:11" x14ac:dyDescent="0.35">
      <c r="A12" s="3" t="s">
        <v>261</v>
      </c>
      <c r="B12" s="3" t="s">
        <v>262</v>
      </c>
      <c r="C12" s="3">
        <v>80</v>
      </c>
      <c r="D12" s="3">
        <v>0.3</v>
      </c>
      <c r="E12" s="3">
        <v>0.8</v>
      </c>
      <c r="F12" s="3">
        <v>0.1</v>
      </c>
      <c r="G12" s="3">
        <v>0.15</v>
      </c>
      <c r="H12" s="3">
        <v>0.08</v>
      </c>
      <c r="I12" s="3">
        <v>1.8</v>
      </c>
      <c r="J12" s="3">
        <v>0.3</v>
      </c>
      <c r="K12" s="3">
        <v>0.18</v>
      </c>
    </row>
    <row r="15" spans="1:11" x14ac:dyDescent="0.35">
      <c r="A15" s="4" t="s">
        <v>454</v>
      </c>
    </row>
    <row r="16" spans="1:11" ht="26" x14ac:dyDescent="0.35">
      <c r="A16" s="1" t="s">
        <v>455</v>
      </c>
      <c r="B16" s="1" t="s">
        <v>456</v>
      </c>
      <c r="C16" s="1" t="s">
        <v>457</v>
      </c>
      <c r="D16" s="1" t="s">
        <v>458</v>
      </c>
      <c r="E16" s="1" t="s">
        <v>459</v>
      </c>
    </row>
    <row r="17" spans="1:5" x14ac:dyDescent="0.35">
      <c r="A17" s="2" t="s">
        <v>460</v>
      </c>
      <c r="B17" s="2" t="s">
        <v>461</v>
      </c>
      <c r="C17" s="2" t="s">
        <v>462</v>
      </c>
      <c r="D17" s="2" t="s">
        <v>463</v>
      </c>
      <c r="E17" s="2" t="s">
        <v>464</v>
      </c>
    </row>
    <row r="18" spans="1:5" x14ac:dyDescent="0.35">
      <c r="A18" s="3" t="s">
        <v>442</v>
      </c>
      <c r="B18" s="3" t="s">
        <v>465</v>
      </c>
      <c r="C18" s="3" t="s">
        <v>466</v>
      </c>
      <c r="D18" s="3" t="s">
        <v>467</v>
      </c>
      <c r="E18" s="3" t="s">
        <v>468</v>
      </c>
    </row>
    <row r="19" spans="1:5" x14ac:dyDescent="0.35">
      <c r="A19" s="2" t="s">
        <v>469</v>
      </c>
      <c r="B19" s="2" t="s">
        <v>470</v>
      </c>
      <c r="C19" s="2" t="s">
        <v>471</v>
      </c>
      <c r="D19" s="2" t="s">
        <v>472</v>
      </c>
      <c r="E19" s="2" t="s">
        <v>473</v>
      </c>
    </row>
    <row r="20" spans="1:5" x14ac:dyDescent="0.35">
      <c r="A20" s="3" t="s">
        <v>474</v>
      </c>
      <c r="B20" s="3" t="s">
        <v>475</v>
      </c>
      <c r="C20" s="3" t="s">
        <v>476</v>
      </c>
      <c r="D20" s="3" t="s">
        <v>472</v>
      </c>
      <c r="E20" s="3" t="s">
        <v>477</v>
      </c>
    </row>
    <row r="21" spans="1:5" x14ac:dyDescent="0.35">
      <c r="A21" s="2" t="s">
        <v>478</v>
      </c>
      <c r="B21" s="2" t="s">
        <v>479</v>
      </c>
      <c r="C21" s="2" t="s">
        <v>480</v>
      </c>
      <c r="D21" s="2" t="s">
        <v>481</v>
      </c>
      <c r="E21" s="2" t="s">
        <v>482</v>
      </c>
    </row>
    <row r="22" spans="1:5" x14ac:dyDescent="0.35">
      <c r="A22" s="3" t="s">
        <v>483</v>
      </c>
      <c r="B22" s="3" t="s">
        <v>484</v>
      </c>
      <c r="C22" s="3" t="s">
        <v>485</v>
      </c>
      <c r="D22" s="3" t="s">
        <v>486</v>
      </c>
      <c r="E22" s="3" t="s">
        <v>487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sqref="A1:J1"/>
    </sheetView>
  </sheetViews>
  <sheetFormatPr defaultRowHeight="14.5" x14ac:dyDescent="0.35"/>
  <cols>
    <col min="1" max="1" width="12" customWidth="1"/>
    <col min="2" max="2" width="20" customWidth="1"/>
    <col min="3" max="3" width="14" customWidth="1"/>
    <col min="4" max="4" width="22" customWidth="1"/>
    <col min="5" max="5" width="20" customWidth="1"/>
    <col min="6" max="6" width="18" customWidth="1"/>
    <col min="7" max="7" width="20" customWidth="1"/>
    <col min="8" max="8" width="18" customWidth="1"/>
    <col min="9" max="10" width="20" customWidth="1"/>
  </cols>
  <sheetData>
    <row r="1" spans="1:10" ht="18" x14ac:dyDescent="0.4">
      <c r="A1" s="9" t="s">
        <v>488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35">
      <c r="A2" s="8" t="s">
        <v>489</v>
      </c>
      <c r="B2" s="7"/>
      <c r="C2" s="7"/>
      <c r="D2" s="7"/>
      <c r="E2" s="7"/>
      <c r="F2" s="7"/>
      <c r="G2" s="7"/>
      <c r="H2" s="7"/>
      <c r="I2" s="7"/>
      <c r="J2" s="7"/>
    </row>
    <row r="4" spans="1:10" x14ac:dyDescent="0.35">
      <c r="A4" s="1" t="s">
        <v>490</v>
      </c>
      <c r="B4" s="1" t="s">
        <v>491</v>
      </c>
      <c r="C4" s="1" t="s">
        <v>492</v>
      </c>
      <c r="D4" s="1" t="s">
        <v>493</v>
      </c>
      <c r="E4" s="1" t="s">
        <v>494</v>
      </c>
      <c r="F4" s="1" t="s">
        <v>495</v>
      </c>
      <c r="G4" s="1" t="s">
        <v>496</v>
      </c>
      <c r="H4" s="1" t="s">
        <v>497</v>
      </c>
      <c r="I4" s="1" t="s">
        <v>498</v>
      </c>
      <c r="J4" s="1" t="s">
        <v>499</v>
      </c>
    </row>
    <row r="5" spans="1:10" x14ac:dyDescent="0.35">
      <c r="A5" s="2" t="s">
        <v>500</v>
      </c>
      <c r="B5" s="2" t="s">
        <v>501</v>
      </c>
      <c r="C5" s="2" t="s">
        <v>502</v>
      </c>
      <c r="D5" s="2" t="s">
        <v>503</v>
      </c>
      <c r="E5" s="2" t="s">
        <v>504</v>
      </c>
      <c r="F5" s="2" t="s">
        <v>505</v>
      </c>
      <c r="G5" s="2" t="s">
        <v>506</v>
      </c>
      <c r="H5" s="2" t="s">
        <v>390</v>
      </c>
      <c r="I5" s="2" t="s">
        <v>507</v>
      </c>
      <c r="J5" s="2" t="s">
        <v>508</v>
      </c>
    </row>
    <row r="6" spans="1:10" x14ac:dyDescent="0.35">
      <c r="A6" s="3" t="s">
        <v>509</v>
      </c>
      <c r="B6" s="3" t="s">
        <v>510</v>
      </c>
      <c r="C6" s="3" t="s">
        <v>511</v>
      </c>
      <c r="D6" s="3" t="s">
        <v>512</v>
      </c>
      <c r="E6" s="3" t="s">
        <v>513</v>
      </c>
      <c r="F6" s="3" t="s">
        <v>514</v>
      </c>
      <c r="G6" s="3" t="s">
        <v>515</v>
      </c>
      <c r="H6" s="3" t="s">
        <v>516</v>
      </c>
      <c r="I6" s="3" t="s">
        <v>517</v>
      </c>
      <c r="J6" s="3" t="s">
        <v>518</v>
      </c>
    </row>
    <row r="7" spans="1:10" x14ac:dyDescent="0.35">
      <c r="A7" s="2" t="s">
        <v>519</v>
      </c>
      <c r="B7" s="2" t="s">
        <v>520</v>
      </c>
      <c r="C7" s="2" t="s">
        <v>521</v>
      </c>
      <c r="D7" s="2" t="s">
        <v>522</v>
      </c>
      <c r="E7" s="2" t="s">
        <v>523</v>
      </c>
      <c r="F7" s="2" t="s">
        <v>524</v>
      </c>
      <c r="G7" s="2" t="s">
        <v>525</v>
      </c>
      <c r="H7" s="2" t="s">
        <v>526</v>
      </c>
      <c r="I7" s="2" t="s">
        <v>527</v>
      </c>
      <c r="J7" s="2" t="s">
        <v>528</v>
      </c>
    </row>
    <row r="8" spans="1:10" x14ac:dyDescent="0.35">
      <c r="A8" s="3" t="s">
        <v>529</v>
      </c>
      <c r="B8" s="3" t="s">
        <v>530</v>
      </c>
      <c r="C8" s="3" t="s">
        <v>531</v>
      </c>
      <c r="D8" s="3" t="s">
        <v>532</v>
      </c>
      <c r="E8" s="3" t="s">
        <v>533</v>
      </c>
      <c r="F8" s="3" t="s">
        <v>534</v>
      </c>
      <c r="G8" s="3" t="s">
        <v>535</v>
      </c>
      <c r="H8" s="3" t="s">
        <v>536</v>
      </c>
      <c r="I8" s="3" t="s">
        <v>537</v>
      </c>
      <c r="J8" s="3" t="s">
        <v>538</v>
      </c>
    </row>
    <row r="9" spans="1:10" x14ac:dyDescent="0.35">
      <c r="A9" s="2" t="s">
        <v>539</v>
      </c>
      <c r="B9" s="2" t="s">
        <v>540</v>
      </c>
      <c r="C9" s="2" t="s">
        <v>541</v>
      </c>
      <c r="D9" s="2" t="s">
        <v>542</v>
      </c>
      <c r="E9" s="2" t="s">
        <v>543</v>
      </c>
      <c r="F9" s="2" t="s">
        <v>544</v>
      </c>
      <c r="G9" s="2" t="s">
        <v>545</v>
      </c>
      <c r="H9" s="2" t="s">
        <v>546</v>
      </c>
      <c r="I9" s="2" t="s">
        <v>547</v>
      </c>
      <c r="J9" s="2" t="s">
        <v>548</v>
      </c>
    </row>
    <row r="12" spans="1:10" x14ac:dyDescent="0.35">
      <c r="A12" s="4" t="s">
        <v>549</v>
      </c>
    </row>
    <row r="13" spans="1:10" ht="26" x14ac:dyDescent="0.35">
      <c r="A13" s="1" t="s">
        <v>550</v>
      </c>
      <c r="B13" s="1" t="s">
        <v>227</v>
      </c>
      <c r="C13" s="1" t="s">
        <v>551</v>
      </c>
      <c r="D13" s="1" t="s">
        <v>552</v>
      </c>
      <c r="E13" s="1" t="s">
        <v>553</v>
      </c>
      <c r="F13" s="1" t="s">
        <v>554</v>
      </c>
      <c r="G13" s="1" t="s">
        <v>555</v>
      </c>
      <c r="H13" s="1" t="s">
        <v>556</v>
      </c>
      <c r="I13" s="1" t="s">
        <v>557</v>
      </c>
    </row>
    <row r="14" spans="1:10" x14ac:dyDescent="0.35">
      <c r="A14" s="2" t="s">
        <v>500</v>
      </c>
      <c r="B14" s="2" t="s">
        <v>453</v>
      </c>
      <c r="C14" s="2">
        <v>180</v>
      </c>
      <c r="D14" s="2">
        <v>45</v>
      </c>
      <c r="E14" s="2">
        <v>-5</v>
      </c>
      <c r="F14" s="2">
        <v>2</v>
      </c>
      <c r="G14" s="2">
        <v>1</v>
      </c>
      <c r="H14" s="2" t="s">
        <v>558</v>
      </c>
      <c r="I14" s="2">
        <v>-0.3</v>
      </c>
    </row>
    <row r="15" spans="1:10" x14ac:dyDescent="0.35">
      <c r="A15" s="3" t="s">
        <v>500</v>
      </c>
      <c r="B15" s="3" t="s">
        <v>192</v>
      </c>
      <c r="C15" s="3">
        <v>25</v>
      </c>
      <c r="D15" s="3">
        <v>10</v>
      </c>
      <c r="E15" s="3">
        <v>0</v>
      </c>
      <c r="F15" s="3">
        <v>0</v>
      </c>
      <c r="G15" s="3">
        <v>1</v>
      </c>
      <c r="H15" s="3" t="s">
        <v>559</v>
      </c>
      <c r="I15" s="3">
        <v>-0.2</v>
      </c>
    </row>
    <row r="16" spans="1:10" x14ac:dyDescent="0.35">
      <c r="A16" s="2" t="s">
        <v>500</v>
      </c>
      <c r="B16" s="2" t="s">
        <v>261</v>
      </c>
      <c r="C16" s="2">
        <v>12</v>
      </c>
      <c r="D16" s="2">
        <v>5</v>
      </c>
      <c r="E16" s="2">
        <v>0</v>
      </c>
      <c r="F16" s="2">
        <v>0</v>
      </c>
      <c r="G16" s="2">
        <v>1</v>
      </c>
      <c r="H16" s="2" t="s">
        <v>514</v>
      </c>
      <c r="I16" s="2">
        <v>0.1</v>
      </c>
    </row>
    <row r="17" spans="1:9" x14ac:dyDescent="0.35">
      <c r="A17" s="3" t="s">
        <v>509</v>
      </c>
      <c r="B17" s="3" t="s">
        <v>233</v>
      </c>
      <c r="C17" s="3">
        <v>-8</v>
      </c>
      <c r="D17" s="3">
        <v>4</v>
      </c>
      <c r="E17" s="3">
        <v>-15</v>
      </c>
      <c r="F17" s="3">
        <v>5</v>
      </c>
      <c r="G17" s="3">
        <v>1.8</v>
      </c>
      <c r="H17" s="3" t="s">
        <v>559</v>
      </c>
      <c r="I17" s="3">
        <v>0</v>
      </c>
    </row>
    <row r="18" spans="1:9" x14ac:dyDescent="0.35">
      <c r="A18" s="2" t="s">
        <v>509</v>
      </c>
      <c r="B18" s="2" t="s">
        <v>261</v>
      </c>
      <c r="C18" s="2">
        <v>-5</v>
      </c>
      <c r="D18" s="2">
        <v>3</v>
      </c>
      <c r="E18" s="2">
        <v>0</v>
      </c>
      <c r="F18" s="2">
        <v>0</v>
      </c>
      <c r="G18" s="2">
        <v>1</v>
      </c>
      <c r="H18" s="2" t="s">
        <v>505</v>
      </c>
      <c r="I18" s="2">
        <v>0</v>
      </c>
    </row>
    <row r="19" spans="1:9" x14ac:dyDescent="0.35">
      <c r="A19" s="3" t="s">
        <v>519</v>
      </c>
      <c r="B19" s="3" t="s">
        <v>560</v>
      </c>
      <c r="C19" s="3">
        <v>3</v>
      </c>
      <c r="D19" s="3">
        <v>2</v>
      </c>
      <c r="E19" s="3">
        <v>-25</v>
      </c>
      <c r="F19" s="3">
        <v>8</v>
      </c>
      <c r="G19" s="3">
        <v>2.5</v>
      </c>
      <c r="H19" s="3" t="s">
        <v>524</v>
      </c>
      <c r="I19" s="3">
        <v>0</v>
      </c>
    </row>
    <row r="20" spans="1:9" x14ac:dyDescent="0.35">
      <c r="A20" s="2" t="s">
        <v>529</v>
      </c>
      <c r="B20" s="2" t="s">
        <v>561</v>
      </c>
      <c r="C20" s="2">
        <v>-15</v>
      </c>
      <c r="D20" s="2">
        <v>6</v>
      </c>
      <c r="E20" s="2">
        <v>0</v>
      </c>
      <c r="F20" s="2">
        <v>0</v>
      </c>
      <c r="G20" s="2">
        <v>1</v>
      </c>
      <c r="H20" s="2" t="s">
        <v>562</v>
      </c>
      <c r="I20" s="2">
        <v>0.1</v>
      </c>
    </row>
    <row r="21" spans="1:9" x14ac:dyDescent="0.35">
      <c r="A21" s="3" t="s">
        <v>529</v>
      </c>
      <c r="B21" s="3" t="s">
        <v>563</v>
      </c>
      <c r="C21" s="3">
        <v>25</v>
      </c>
      <c r="D21" s="3">
        <v>8</v>
      </c>
      <c r="E21" s="3">
        <v>0</v>
      </c>
      <c r="F21" s="3">
        <v>0</v>
      </c>
      <c r="G21" s="3">
        <v>1</v>
      </c>
      <c r="H21" s="3" t="s">
        <v>562</v>
      </c>
      <c r="I21" s="3">
        <v>0.1</v>
      </c>
    </row>
    <row r="22" spans="1:9" x14ac:dyDescent="0.35">
      <c r="A22" s="2" t="s">
        <v>539</v>
      </c>
      <c r="B22" s="2" t="s">
        <v>233</v>
      </c>
      <c r="C22" s="2">
        <v>-20</v>
      </c>
      <c r="D22" s="2">
        <v>8</v>
      </c>
      <c r="E22" s="2">
        <v>10</v>
      </c>
      <c r="F22" s="2">
        <v>5</v>
      </c>
      <c r="G22" s="2">
        <v>0.7</v>
      </c>
      <c r="H22" s="2" t="s">
        <v>558</v>
      </c>
      <c r="I22" s="2">
        <v>-0.1</v>
      </c>
    </row>
    <row r="23" spans="1:9" x14ac:dyDescent="0.35">
      <c r="A23" s="3" t="s">
        <v>539</v>
      </c>
      <c r="B23" s="3" t="s">
        <v>564</v>
      </c>
      <c r="C23" s="3">
        <v>-10</v>
      </c>
      <c r="D23" s="3">
        <v>5</v>
      </c>
      <c r="E23" s="3">
        <v>5</v>
      </c>
      <c r="F23" s="3">
        <v>3</v>
      </c>
      <c r="G23" s="3">
        <v>0.8</v>
      </c>
      <c r="H23" s="3" t="s">
        <v>562</v>
      </c>
      <c r="I23" s="3">
        <v>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sqref="A1:F1"/>
    </sheetView>
  </sheetViews>
  <sheetFormatPr defaultRowHeight="14.5" x14ac:dyDescent="0.35"/>
  <cols>
    <col min="1" max="1" width="8" customWidth="1"/>
    <col min="2" max="2" width="24" customWidth="1"/>
    <col min="3" max="3" width="12" customWidth="1"/>
    <col min="4" max="4" width="16" customWidth="1"/>
    <col min="5" max="5" width="22" customWidth="1"/>
    <col min="6" max="6" width="55" customWidth="1"/>
  </cols>
  <sheetData>
    <row r="1" spans="1:6" ht="18" x14ac:dyDescent="0.4">
      <c r="A1" s="9" t="s">
        <v>565</v>
      </c>
      <c r="B1" s="7"/>
      <c r="C1" s="7"/>
      <c r="D1" s="7"/>
      <c r="E1" s="7"/>
      <c r="F1" s="7"/>
    </row>
    <row r="3" spans="1:6" x14ac:dyDescent="0.35">
      <c r="A3" s="1" t="s">
        <v>566</v>
      </c>
      <c r="B3" s="1" t="s">
        <v>567</v>
      </c>
      <c r="C3" s="1" t="s">
        <v>568</v>
      </c>
      <c r="D3" s="1" t="s">
        <v>569</v>
      </c>
      <c r="E3" s="1" t="s">
        <v>570</v>
      </c>
      <c r="F3" s="1" t="s">
        <v>571</v>
      </c>
    </row>
    <row r="4" spans="1:6" x14ac:dyDescent="0.35">
      <c r="A4" s="2" t="s">
        <v>572</v>
      </c>
      <c r="B4" s="2" t="s">
        <v>573</v>
      </c>
      <c r="C4" s="2" t="s">
        <v>574</v>
      </c>
      <c r="D4" s="2" t="s">
        <v>575</v>
      </c>
      <c r="E4" s="2" t="s">
        <v>576</v>
      </c>
      <c r="F4" s="2" t="s">
        <v>577</v>
      </c>
    </row>
    <row r="5" spans="1:6" x14ac:dyDescent="0.35">
      <c r="A5" s="3" t="s">
        <v>572</v>
      </c>
      <c r="B5" s="3" t="s">
        <v>578</v>
      </c>
      <c r="C5" s="3" t="s">
        <v>574</v>
      </c>
      <c r="D5" s="3" t="s">
        <v>579</v>
      </c>
      <c r="E5" s="3" t="s">
        <v>580</v>
      </c>
      <c r="F5" s="3" t="s">
        <v>581</v>
      </c>
    </row>
    <row r="6" spans="1:6" x14ac:dyDescent="0.35">
      <c r="A6" s="2" t="s">
        <v>572</v>
      </c>
      <c r="B6" s="2" t="s">
        <v>582</v>
      </c>
      <c r="C6" s="2" t="s">
        <v>583</v>
      </c>
      <c r="D6" s="2" t="s">
        <v>584</v>
      </c>
      <c r="E6" s="2" t="s">
        <v>585</v>
      </c>
      <c r="F6" s="2" t="s">
        <v>586</v>
      </c>
    </row>
    <row r="7" spans="1:6" x14ac:dyDescent="0.35">
      <c r="A7" s="3" t="s">
        <v>572</v>
      </c>
      <c r="B7" s="3" t="s">
        <v>587</v>
      </c>
      <c r="C7" s="3" t="s">
        <v>588</v>
      </c>
      <c r="D7" s="3" t="s">
        <v>589</v>
      </c>
      <c r="E7" s="3" t="s">
        <v>590</v>
      </c>
      <c r="F7" s="3" t="s">
        <v>591</v>
      </c>
    </row>
    <row r="8" spans="1:6" x14ac:dyDescent="0.35">
      <c r="A8" s="2" t="s">
        <v>572</v>
      </c>
      <c r="B8" s="2" t="s">
        <v>592</v>
      </c>
      <c r="C8" s="2" t="s">
        <v>593</v>
      </c>
      <c r="D8" s="2" t="s">
        <v>594</v>
      </c>
      <c r="E8" s="2" t="s">
        <v>595</v>
      </c>
      <c r="F8" s="2" t="s">
        <v>596</v>
      </c>
    </row>
    <row r="9" spans="1:6" x14ac:dyDescent="0.35">
      <c r="A9" s="3" t="s">
        <v>572</v>
      </c>
      <c r="B9" s="3" t="s">
        <v>597</v>
      </c>
      <c r="C9" s="3" t="s">
        <v>593</v>
      </c>
      <c r="D9" s="3" t="s">
        <v>598</v>
      </c>
      <c r="E9" s="3" t="s">
        <v>599</v>
      </c>
      <c r="F9" s="3" t="s">
        <v>600</v>
      </c>
    </row>
    <row r="10" spans="1:6" x14ac:dyDescent="0.35">
      <c r="A10" s="2" t="s">
        <v>572</v>
      </c>
      <c r="B10" s="2" t="s">
        <v>601</v>
      </c>
      <c r="C10" s="2" t="s">
        <v>593</v>
      </c>
      <c r="D10" s="2" t="s">
        <v>602</v>
      </c>
      <c r="E10" s="2" t="s">
        <v>603</v>
      </c>
      <c r="F10" s="2" t="s">
        <v>604</v>
      </c>
    </row>
    <row r="11" spans="1:6" x14ac:dyDescent="0.35">
      <c r="A11" s="3" t="s">
        <v>572</v>
      </c>
      <c r="B11" s="3" t="s">
        <v>605</v>
      </c>
      <c r="C11" s="3" t="s">
        <v>593</v>
      </c>
      <c r="D11" s="3" t="s">
        <v>602</v>
      </c>
      <c r="E11" s="3" t="s">
        <v>606</v>
      </c>
      <c r="F11" s="3" t="s">
        <v>607</v>
      </c>
    </row>
    <row r="12" spans="1:6" x14ac:dyDescent="0.35">
      <c r="A12" s="2" t="s">
        <v>572</v>
      </c>
      <c r="B12" s="2" t="s">
        <v>608</v>
      </c>
      <c r="C12" s="2" t="s">
        <v>593</v>
      </c>
      <c r="D12" s="2" t="s">
        <v>609</v>
      </c>
      <c r="E12" s="2" t="s">
        <v>610</v>
      </c>
      <c r="F12" s="2" t="s">
        <v>611</v>
      </c>
    </row>
    <row r="13" spans="1:6" x14ac:dyDescent="0.35">
      <c r="A13" s="3" t="s">
        <v>572</v>
      </c>
      <c r="B13" s="3" t="s">
        <v>612</v>
      </c>
      <c r="C13" s="3" t="s">
        <v>593</v>
      </c>
      <c r="D13" s="3" t="s">
        <v>613</v>
      </c>
      <c r="E13" s="3" t="s">
        <v>614</v>
      </c>
      <c r="F13" s="3" t="s">
        <v>615</v>
      </c>
    </row>
    <row r="14" spans="1:6" x14ac:dyDescent="0.35">
      <c r="A14" s="2" t="s">
        <v>616</v>
      </c>
      <c r="B14" s="2" t="s">
        <v>617</v>
      </c>
      <c r="C14" s="2" t="s">
        <v>267</v>
      </c>
      <c r="D14" s="2" t="s">
        <v>618</v>
      </c>
      <c r="E14" s="2" t="s">
        <v>619</v>
      </c>
      <c r="F14" s="2" t="s">
        <v>620</v>
      </c>
    </row>
    <row r="15" spans="1:6" x14ac:dyDescent="0.35">
      <c r="A15" s="3" t="s">
        <v>616</v>
      </c>
      <c r="B15" s="3" t="s">
        <v>621</v>
      </c>
      <c r="C15" s="3" t="s">
        <v>593</v>
      </c>
      <c r="D15" s="3" t="s">
        <v>622</v>
      </c>
      <c r="E15" s="3" t="s">
        <v>623</v>
      </c>
      <c r="F15" s="3" t="s">
        <v>624</v>
      </c>
    </row>
    <row r="16" spans="1:6" x14ac:dyDescent="0.35">
      <c r="A16" s="2" t="s">
        <v>616</v>
      </c>
      <c r="B16" s="2" t="s">
        <v>625</v>
      </c>
      <c r="C16" s="2" t="s">
        <v>593</v>
      </c>
      <c r="D16" s="2" t="s">
        <v>626</v>
      </c>
      <c r="E16" s="2" t="s">
        <v>627</v>
      </c>
      <c r="F16" s="2" t="s">
        <v>628</v>
      </c>
    </row>
    <row r="17" spans="1:6" x14ac:dyDescent="0.35">
      <c r="A17" s="3" t="s">
        <v>616</v>
      </c>
      <c r="B17" s="3" t="s">
        <v>629</v>
      </c>
      <c r="C17" s="3" t="s">
        <v>593</v>
      </c>
      <c r="D17" s="3" t="s">
        <v>630</v>
      </c>
      <c r="E17" s="3" t="s">
        <v>623</v>
      </c>
      <c r="F17" s="3" t="s">
        <v>631</v>
      </c>
    </row>
    <row r="18" spans="1:6" x14ac:dyDescent="0.35">
      <c r="A18" s="2" t="s">
        <v>616</v>
      </c>
      <c r="B18" s="2" t="s">
        <v>632</v>
      </c>
      <c r="C18" s="2" t="s">
        <v>593</v>
      </c>
      <c r="D18" s="2" t="s">
        <v>633</v>
      </c>
      <c r="E18" s="2" t="s">
        <v>634</v>
      </c>
      <c r="F18" s="2" t="s">
        <v>635</v>
      </c>
    </row>
    <row r="19" spans="1:6" x14ac:dyDescent="0.35">
      <c r="A19" s="3" t="s">
        <v>616</v>
      </c>
      <c r="B19" s="3" t="s">
        <v>636</v>
      </c>
      <c r="C19" s="3" t="s">
        <v>593</v>
      </c>
      <c r="D19" s="3" t="s">
        <v>637</v>
      </c>
      <c r="E19" s="3" t="s">
        <v>638</v>
      </c>
      <c r="F19" s="3" t="s">
        <v>639</v>
      </c>
    </row>
    <row r="20" spans="1:6" x14ac:dyDescent="0.35">
      <c r="A20" s="2" t="s">
        <v>616</v>
      </c>
      <c r="B20" s="2" t="s">
        <v>640</v>
      </c>
      <c r="C20" s="2" t="s">
        <v>593</v>
      </c>
      <c r="D20" s="2" t="s">
        <v>622</v>
      </c>
      <c r="E20" s="2" t="s">
        <v>641</v>
      </c>
      <c r="F20" s="2" t="s">
        <v>642</v>
      </c>
    </row>
    <row r="21" spans="1:6" x14ac:dyDescent="0.35">
      <c r="A21" s="3" t="s">
        <v>643</v>
      </c>
      <c r="B21" s="3" t="s">
        <v>644</v>
      </c>
      <c r="C21" s="3" t="s">
        <v>574</v>
      </c>
      <c r="D21" s="3" t="s">
        <v>645</v>
      </c>
      <c r="E21" s="3" t="s">
        <v>646</v>
      </c>
      <c r="F21" s="3" t="s">
        <v>647</v>
      </c>
    </row>
    <row r="22" spans="1:6" x14ac:dyDescent="0.35">
      <c r="A22" s="2" t="s">
        <v>643</v>
      </c>
      <c r="B22" s="2" t="s">
        <v>648</v>
      </c>
      <c r="C22" s="2" t="s">
        <v>588</v>
      </c>
      <c r="D22" s="2" t="s">
        <v>649</v>
      </c>
      <c r="E22" s="2" t="s">
        <v>650</v>
      </c>
      <c r="F22" s="2" t="s">
        <v>651</v>
      </c>
    </row>
    <row r="23" spans="1:6" x14ac:dyDescent="0.35">
      <c r="A23" s="3" t="s">
        <v>643</v>
      </c>
      <c r="B23" s="3" t="s">
        <v>652</v>
      </c>
      <c r="C23" s="3" t="s">
        <v>593</v>
      </c>
      <c r="D23" s="3" t="s">
        <v>653</v>
      </c>
      <c r="E23" s="3" t="s">
        <v>623</v>
      </c>
      <c r="F23" s="3" t="s">
        <v>654</v>
      </c>
    </row>
    <row r="24" spans="1:6" x14ac:dyDescent="0.35">
      <c r="A24" s="2" t="s">
        <v>643</v>
      </c>
      <c r="B24" s="2" t="s">
        <v>655</v>
      </c>
      <c r="C24" s="2" t="s">
        <v>593</v>
      </c>
      <c r="D24" s="2" t="s">
        <v>656</v>
      </c>
      <c r="E24" s="2" t="s">
        <v>657</v>
      </c>
      <c r="F24" s="2" t="s">
        <v>658</v>
      </c>
    </row>
    <row r="25" spans="1:6" x14ac:dyDescent="0.35">
      <c r="A25" s="3" t="s">
        <v>643</v>
      </c>
      <c r="B25" s="3" t="s">
        <v>659</v>
      </c>
      <c r="C25" s="3" t="s">
        <v>593</v>
      </c>
      <c r="D25" s="3" t="s">
        <v>609</v>
      </c>
      <c r="E25" s="3" t="s">
        <v>660</v>
      </c>
      <c r="F25" s="3" t="s">
        <v>661</v>
      </c>
    </row>
    <row r="26" spans="1:6" x14ac:dyDescent="0.35">
      <c r="A26" s="2" t="s">
        <v>662</v>
      </c>
      <c r="B26" s="2" t="s">
        <v>460</v>
      </c>
      <c r="C26" s="2" t="s">
        <v>593</v>
      </c>
      <c r="D26" s="2" t="s">
        <v>633</v>
      </c>
      <c r="E26" s="2" t="s">
        <v>663</v>
      </c>
      <c r="F26" s="2" t="s">
        <v>664</v>
      </c>
    </row>
    <row r="27" spans="1:6" x14ac:dyDescent="0.35">
      <c r="A27" s="3" t="s">
        <v>662</v>
      </c>
      <c r="B27" s="3" t="s">
        <v>665</v>
      </c>
      <c r="C27" s="3" t="s">
        <v>593</v>
      </c>
      <c r="D27" s="3" t="s">
        <v>666</v>
      </c>
      <c r="E27" s="3" t="s">
        <v>667</v>
      </c>
      <c r="F27" s="3" t="s">
        <v>668</v>
      </c>
    </row>
    <row r="28" spans="1:6" x14ac:dyDescent="0.35">
      <c r="A28" s="2" t="s">
        <v>662</v>
      </c>
      <c r="B28" s="2" t="s">
        <v>669</v>
      </c>
      <c r="C28" s="2" t="s">
        <v>593</v>
      </c>
      <c r="D28" s="2" t="s">
        <v>670</v>
      </c>
      <c r="E28" s="2" t="s">
        <v>671</v>
      </c>
      <c r="F28" s="2" t="s">
        <v>672</v>
      </c>
    </row>
    <row r="29" spans="1:6" x14ac:dyDescent="0.35">
      <c r="A29" s="3" t="s">
        <v>662</v>
      </c>
      <c r="B29" s="3" t="s">
        <v>673</v>
      </c>
      <c r="C29" s="3" t="s">
        <v>593</v>
      </c>
      <c r="D29" s="3" t="s">
        <v>674</v>
      </c>
      <c r="E29" s="3" t="s">
        <v>675</v>
      </c>
      <c r="F29" s="3" t="s">
        <v>676</v>
      </c>
    </row>
    <row r="30" spans="1:6" x14ac:dyDescent="0.35">
      <c r="A30" s="2" t="s">
        <v>662</v>
      </c>
      <c r="B30" s="2" t="s">
        <v>677</v>
      </c>
      <c r="C30" s="2" t="s">
        <v>593</v>
      </c>
      <c r="D30" s="2" t="s">
        <v>678</v>
      </c>
      <c r="E30" s="2" t="s">
        <v>679</v>
      </c>
      <c r="F30" s="2" t="s">
        <v>680</v>
      </c>
    </row>
    <row r="31" spans="1:6" x14ac:dyDescent="0.35">
      <c r="A31" s="3" t="s">
        <v>681</v>
      </c>
      <c r="B31" s="3" t="s">
        <v>682</v>
      </c>
      <c r="C31" s="3" t="s">
        <v>574</v>
      </c>
      <c r="D31" s="3" t="s">
        <v>683</v>
      </c>
      <c r="E31" s="3" t="s">
        <v>684</v>
      </c>
      <c r="F31" s="3" t="s">
        <v>685</v>
      </c>
    </row>
    <row r="32" spans="1:6" x14ac:dyDescent="0.35">
      <c r="A32" s="2" t="s">
        <v>681</v>
      </c>
      <c r="B32" s="2" t="s">
        <v>686</v>
      </c>
      <c r="C32" s="2" t="s">
        <v>593</v>
      </c>
      <c r="D32" s="2" t="s">
        <v>687</v>
      </c>
      <c r="E32" s="2" t="s">
        <v>679</v>
      </c>
      <c r="F32" s="2" t="s">
        <v>688</v>
      </c>
    </row>
    <row r="33" spans="1:6" x14ac:dyDescent="0.35">
      <c r="A33" s="3" t="s">
        <v>681</v>
      </c>
      <c r="B33" s="3" t="s">
        <v>689</v>
      </c>
      <c r="C33" s="3" t="s">
        <v>593</v>
      </c>
      <c r="D33" s="3" t="s">
        <v>687</v>
      </c>
      <c r="E33" s="3" t="s">
        <v>690</v>
      </c>
      <c r="F33" s="3" t="s">
        <v>691</v>
      </c>
    </row>
    <row r="34" spans="1:6" x14ac:dyDescent="0.35">
      <c r="A34" s="2" t="s">
        <v>681</v>
      </c>
      <c r="B34" s="2" t="s">
        <v>692</v>
      </c>
      <c r="C34" s="2" t="s">
        <v>593</v>
      </c>
      <c r="D34" s="2" t="s">
        <v>693</v>
      </c>
      <c r="E34" s="2" t="s">
        <v>694</v>
      </c>
      <c r="F34" s="2" t="s">
        <v>695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DS1_Material_Properties</vt:lpstr>
      <vt:lpstr>DS2_Commodity_Prices</vt:lpstr>
      <vt:lpstr>DS3_Infrastructure_Portfolio</vt:lpstr>
      <vt:lpstr>DS4_CrossDomain_Features</vt:lpstr>
      <vt:lpstr>DS5_Stress_Scenarios</vt:lpstr>
      <vt:lpstr>Data_Dictionary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Suketu Sanghvi</dc:creator>
  <cp:lastModifiedBy>Suketu Sanghvi</cp:lastModifiedBy>
  <dcterms:created xsi:type="dcterms:W3CDTF">2026-03-05T17:18:13Z</dcterms:created>
  <dcterms:modified xsi:type="dcterms:W3CDTF">2026-04-05T15:24:41Z</dcterms:modified>
</cp:coreProperties>
</file>